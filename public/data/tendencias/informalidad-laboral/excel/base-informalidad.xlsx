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8"/>
  <workbookPr/>
  <mc:AlternateContent xmlns:mc="http://schemas.openxmlformats.org/markup-compatibility/2006">
    <mc:Choice Requires="x15">
      <x15ac:absPath xmlns:x15ac="http://schemas.microsoft.com/office/spreadsheetml/2010/11/ac" url="D:\Mi unidad\Pigs\_COMPANIES\COMFENALCO Natalia Trujillo\Contenido Observatorio\Informidad Laboral\"/>
    </mc:Choice>
  </mc:AlternateContent>
  <xr:revisionPtr revIDLastSave="0" documentId="13_ncr:1_{A2CE3563-24E3-447D-8166-DBEB7CFF6325}" xr6:coauthVersionLast="47" xr6:coauthVersionMax="47" xr10:uidLastSave="{00000000-0000-0000-0000-000000000000}"/>
  <bookViews>
    <workbookView xWindow="-120" yWindow="-120" windowWidth="29040" windowHeight="15840" tabRatio="867" xr2:uid="{00000000-000D-0000-FFFF-FFFF00000000}"/>
  </bookViews>
  <sheets>
    <sheet name="Tasas_Informalidad_2007-2042" sheetId="9" r:id="rId1"/>
    <sheet name="Portada" sheetId="1" r:id="rId2"/>
    <sheet name="Tasas_Informalidad_Proy" sheetId="2" r:id="rId3"/>
    <sheet name="IC_95pct" sheetId="3" r:id="rId4"/>
    <sheet name="Ocupados_Proy" sheetId="4" r:id="rId5"/>
    <sheet name="Resumen_por_Año" sheetId="5" r:id="rId6"/>
    <sheet name="Historico_GEIH_2007-2026" sheetId="6" r:id="rId7"/>
    <sheet name="Params_Lee-Carter" sheetId="7" r:id="rId8"/>
    <sheet name="Nota_Metodologica" sheetId="8"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2" i="9" l="1"/>
  <c r="T32" i="9"/>
  <c r="S32" i="9"/>
  <c r="R32" i="9"/>
  <c r="Q32" i="9"/>
  <c r="P32" i="9"/>
  <c r="O32" i="9"/>
  <c r="N32" i="9"/>
  <c r="M32" i="9"/>
  <c r="L32" i="9"/>
  <c r="K32" i="9"/>
  <c r="J32" i="9"/>
  <c r="I32" i="9"/>
  <c r="H32" i="9"/>
  <c r="G32" i="9"/>
  <c r="F32" i="9"/>
  <c r="E32" i="9"/>
  <c r="D32" i="9"/>
  <c r="C32" i="9"/>
  <c r="B32" i="9"/>
  <c r="A32" i="9"/>
  <c r="AL29" i="9"/>
  <c r="AK29" i="9"/>
  <c r="AJ29" i="9"/>
  <c r="AI29" i="9"/>
  <c r="AH29" i="9"/>
  <c r="AG29" i="9"/>
  <c r="AF29" i="9"/>
  <c r="AE29" i="9"/>
  <c r="AD29" i="9"/>
  <c r="AC29"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29" i="9"/>
  <c r="AL28" i="9"/>
  <c r="AK28" i="9"/>
  <c r="AJ28" i="9"/>
  <c r="AI28" i="9"/>
  <c r="AH28" i="9"/>
  <c r="AG28" i="9"/>
  <c r="AF28" i="9"/>
  <c r="AE28" i="9"/>
  <c r="AD28" i="9"/>
  <c r="AC28"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28" i="9"/>
  <c r="AL27" i="9"/>
  <c r="AK27" i="9"/>
  <c r="AJ27" i="9"/>
  <c r="AI27" i="9"/>
  <c r="AH27" i="9"/>
  <c r="AG27" i="9"/>
  <c r="AF27" i="9"/>
  <c r="AE27" i="9"/>
  <c r="AD27" i="9"/>
  <c r="AC27" i="9"/>
  <c r="AB27" i="9"/>
  <c r="AA27" i="9"/>
  <c r="Z27" i="9"/>
  <c r="Y27" i="9"/>
  <c r="X27" i="9"/>
  <c r="W27" i="9"/>
  <c r="V27" i="9"/>
  <c r="U27" i="9"/>
  <c r="T27" i="9"/>
  <c r="S27" i="9"/>
  <c r="R27" i="9"/>
  <c r="Q27" i="9"/>
  <c r="P27" i="9"/>
  <c r="O27" i="9"/>
  <c r="N27" i="9"/>
  <c r="M27" i="9"/>
  <c r="L27" i="9"/>
  <c r="K27" i="9"/>
  <c r="J27" i="9"/>
  <c r="I27" i="9"/>
  <c r="H27" i="9"/>
  <c r="G27" i="9"/>
  <c r="F27" i="9"/>
  <c r="E27" i="9"/>
  <c r="D27" i="9"/>
  <c r="C27" i="9"/>
  <c r="B27" i="9"/>
  <c r="A27" i="9"/>
  <c r="AL26" i="9"/>
  <c r="AK26" i="9"/>
  <c r="AJ26" i="9"/>
  <c r="AI26" i="9"/>
  <c r="AH26" i="9"/>
  <c r="AG26" i="9"/>
  <c r="AF26" i="9"/>
  <c r="AE26" i="9"/>
  <c r="AD26" i="9"/>
  <c r="AC26" i="9"/>
  <c r="AB26" i="9"/>
  <c r="AA26" i="9"/>
  <c r="Z26" i="9"/>
  <c r="Y26" i="9"/>
  <c r="X26" i="9"/>
  <c r="W26" i="9"/>
  <c r="V26" i="9"/>
  <c r="U26" i="9"/>
  <c r="T26" i="9"/>
  <c r="S26" i="9"/>
  <c r="R26" i="9"/>
  <c r="Q26" i="9"/>
  <c r="P26" i="9"/>
  <c r="O26" i="9"/>
  <c r="N26" i="9"/>
  <c r="M26" i="9"/>
  <c r="L26" i="9"/>
  <c r="K26" i="9"/>
  <c r="J26" i="9"/>
  <c r="I26" i="9"/>
  <c r="H26" i="9"/>
  <c r="G26" i="9"/>
  <c r="F26" i="9"/>
  <c r="E26" i="9"/>
  <c r="D26" i="9"/>
  <c r="C26" i="9"/>
  <c r="B26" i="9"/>
  <c r="A26" i="9"/>
  <c r="AL25" i="9"/>
  <c r="AK25" i="9"/>
  <c r="AJ25" i="9"/>
  <c r="AI25" i="9"/>
  <c r="AH25" i="9"/>
  <c r="AG25" i="9"/>
  <c r="AF25" i="9"/>
  <c r="AE25" i="9"/>
  <c r="AD25" i="9"/>
  <c r="AC25" i="9"/>
  <c r="AB25" i="9"/>
  <c r="AA25" i="9"/>
  <c r="Z25" i="9"/>
  <c r="Y25" i="9"/>
  <c r="X25" i="9"/>
  <c r="W25" i="9"/>
  <c r="V25" i="9"/>
  <c r="U25" i="9"/>
  <c r="T25" i="9"/>
  <c r="S25" i="9"/>
  <c r="R25" i="9"/>
  <c r="Q25" i="9"/>
  <c r="P25" i="9"/>
  <c r="O25" i="9"/>
  <c r="N25" i="9"/>
  <c r="M25" i="9"/>
  <c r="L25" i="9"/>
  <c r="K25" i="9"/>
  <c r="J25" i="9"/>
  <c r="I25" i="9"/>
  <c r="H25" i="9"/>
  <c r="G25" i="9"/>
  <c r="F25" i="9"/>
  <c r="E25" i="9"/>
  <c r="D25" i="9"/>
  <c r="C25" i="9"/>
  <c r="B25" i="9"/>
  <c r="A25" i="9"/>
  <c r="AL24" i="9"/>
  <c r="AK24" i="9"/>
  <c r="AJ24" i="9"/>
  <c r="AI24" i="9"/>
  <c r="AH24" i="9"/>
  <c r="AG24" i="9"/>
  <c r="AF24" i="9"/>
  <c r="AE24" i="9"/>
  <c r="AD24" i="9"/>
  <c r="AC24" i="9"/>
  <c r="AB24" i="9"/>
  <c r="AA24" i="9"/>
  <c r="Z24" i="9"/>
  <c r="Y24" i="9"/>
  <c r="X24" i="9"/>
  <c r="W24" i="9"/>
  <c r="V24" i="9"/>
  <c r="U24" i="9"/>
  <c r="T24" i="9"/>
  <c r="S24" i="9"/>
  <c r="R24" i="9"/>
  <c r="Q24" i="9"/>
  <c r="P24" i="9"/>
  <c r="O24" i="9"/>
  <c r="N24" i="9"/>
  <c r="M24" i="9"/>
  <c r="L24" i="9"/>
  <c r="K24" i="9"/>
  <c r="J24" i="9"/>
  <c r="I24" i="9"/>
  <c r="H24" i="9"/>
  <c r="G24" i="9"/>
  <c r="F24" i="9"/>
  <c r="E24" i="9"/>
  <c r="D24" i="9"/>
  <c r="C24" i="9"/>
  <c r="B24" i="9"/>
  <c r="A24" i="9"/>
  <c r="AL23" i="9"/>
  <c r="AK23" i="9"/>
  <c r="AJ23" i="9"/>
  <c r="AI23" i="9"/>
  <c r="AH23" i="9"/>
  <c r="AG23" i="9"/>
  <c r="AF23" i="9"/>
  <c r="AE23" i="9"/>
  <c r="AD23" i="9"/>
  <c r="AC23" i="9"/>
  <c r="AB23" i="9"/>
  <c r="AA23" i="9"/>
  <c r="Z23" i="9"/>
  <c r="Y23" i="9"/>
  <c r="X23" i="9"/>
  <c r="W23" i="9"/>
  <c r="V23" i="9"/>
  <c r="U23" i="9"/>
  <c r="T23" i="9"/>
  <c r="S23" i="9"/>
  <c r="R23" i="9"/>
  <c r="Q23" i="9"/>
  <c r="P23" i="9"/>
  <c r="O23" i="9"/>
  <c r="N23" i="9"/>
  <c r="M23" i="9"/>
  <c r="L23" i="9"/>
  <c r="K23" i="9"/>
  <c r="J23" i="9"/>
  <c r="I23" i="9"/>
  <c r="H23" i="9"/>
  <c r="G23" i="9"/>
  <c r="F23" i="9"/>
  <c r="E23" i="9"/>
  <c r="D23" i="9"/>
  <c r="C23" i="9"/>
  <c r="B23" i="9"/>
  <c r="A23" i="9"/>
  <c r="AL22" i="9"/>
  <c r="AK22" i="9"/>
  <c r="AJ22" i="9"/>
  <c r="AI22" i="9"/>
  <c r="AH22" i="9"/>
  <c r="AG22" i="9"/>
  <c r="AF22" i="9"/>
  <c r="AE22" i="9"/>
  <c r="AD22" i="9"/>
  <c r="AC22" i="9"/>
  <c r="AB22" i="9"/>
  <c r="AA22" i="9"/>
  <c r="Z22" i="9"/>
  <c r="Y22" i="9"/>
  <c r="X22" i="9"/>
  <c r="W22" i="9"/>
  <c r="V22" i="9"/>
  <c r="U22" i="9"/>
  <c r="T22" i="9"/>
  <c r="S22" i="9"/>
  <c r="R22" i="9"/>
  <c r="Q22" i="9"/>
  <c r="P22" i="9"/>
  <c r="O22" i="9"/>
  <c r="N22" i="9"/>
  <c r="M22" i="9"/>
  <c r="L22" i="9"/>
  <c r="K22" i="9"/>
  <c r="J22" i="9"/>
  <c r="I22" i="9"/>
  <c r="H22" i="9"/>
  <c r="G22" i="9"/>
  <c r="F22" i="9"/>
  <c r="E22" i="9"/>
  <c r="D22" i="9"/>
  <c r="C22" i="9"/>
  <c r="B22" i="9"/>
  <c r="A22" i="9"/>
  <c r="AL21" i="9"/>
  <c r="AK21" i="9"/>
  <c r="AJ21" i="9"/>
  <c r="AI21" i="9"/>
  <c r="AH21" i="9"/>
  <c r="AG21" i="9"/>
  <c r="AF21" i="9"/>
  <c r="AE21" i="9"/>
  <c r="AD21" i="9"/>
  <c r="AC21" i="9"/>
  <c r="AB21" i="9"/>
  <c r="AA21" i="9"/>
  <c r="Z21" i="9"/>
  <c r="Y21" i="9"/>
  <c r="X21" i="9"/>
  <c r="W21" i="9"/>
  <c r="V21" i="9"/>
  <c r="U21" i="9"/>
  <c r="T21" i="9"/>
  <c r="S21" i="9"/>
  <c r="R21" i="9"/>
  <c r="Q21" i="9"/>
  <c r="P21" i="9"/>
  <c r="O21" i="9"/>
  <c r="N21" i="9"/>
  <c r="M21" i="9"/>
  <c r="L21" i="9"/>
  <c r="K21" i="9"/>
  <c r="J21" i="9"/>
  <c r="I21" i="9"/>
  <c r="H21" i="9"/>
  <c r="G21" i="9"/>
  <c r="F21" i="9"/>
  <c r="E21" i="9"/>
  <c r="D21" i="9"/>
  <c r="C21" i="9"/>
  <c r="B21" i="9"/>
  <c r="A21" i="9"/>
  <c r="AL20" i="9"/>
  <c r="AK20" i="9"/>
  <c r="AJ20" i="9"/>
  <c r="AI20" i="9"/>
  <c r="AH20" i="9"/>
  <c r="AG20" i="9"/>
  <c r="AF20" i="9"/>
  <c r="AE20" i="9"/>
  <c r="AD20" i="9"/>
  <c r="AC20" i="9"/>
  <c r="AB20" i="9"/>
  <c r="AA20" i="9"/>
  <c r="Z20" i="9"/>
  <c r="Y20" i="9"/>
  <c r="X20" i="9"/>
  <c r="W20" i="9"/>
  <c r="V20" i="9"/>
  <c r="U20" i="9"/>
  <c r="T20" i="9"/>
  <c r="S20" i="9"/>
  <c r="R20" i="9"/>
  <c r="Q20" i="9"/>
  <c r="P20" i="9"/>
  <c r="O20" i="9"/>
  <c r="N20" i="9"/>
  <c r="M20" i="9"/>
  <c r="L20" i="9"/>
  <c r="K20" i="9"/>
  <c r="J20" i="9"/>
  <c r="I20" i="9"/>
  <c r="H20" i="9"/>
  <c r="G20" i="9"/>
  <c r="F20" i="9"/>
  <c r="E20" i="9"/>
  <c r="D20" i="9"/>
  <c r="C20" i="9"/>
  <c r="B20" i="9"/>
  <c r="A20" i="9"/>
  <c r="AL19" i="9"/>
  <c r="AK19" i="9"/>
  <c r="AJ19" i="9"/>
  <c r="AI19" i="9"/>
  <c r="AH19" i="9"/>
  <c r="AG19" i="9"/>
  <c r="AF19" i="9"/>
  <c r="AE19" i="9"/>
  <c r="AD19" i="9"/>
  <c r="AC19" i="9"/>
  <c r="AB19" i="9"/>
  <c r="AA19" i="9"/>
  <c r="Z19" i="9"/>
  <c r="Y19" i="9"/>
  <c r="X19" i="9"/>
  <c r="W19" i="9"/>
  <c r="V19" i="9"/>
  <c r="U19" i="9"/>
  <c r="T19" i="9"/>
  <c r="S19" i="9"/>
  <c r="R19" i="9"/>
  <c r="Q19" i="9"/>
  <c r="P19" i="9"/>
  <c r="O19" i="9"/>
  <c r="N19" i="9"/>
  <c r="M19" i="9"/>
  <c r="L19" i="9"/>
  <c r="K19" i="9"/>
  <c r="J19" i="9"/>
  <c r="I19" i="9"/>
  <c r="H19" i="9"/>
  <c r="G19" i="9"/>
  <c r="F19" i="9"/>
  <c r="E19" i="9"/>
  <c r="D19" i="9"/>
  <c r="C19" i="9"/>
  <c r="B19" i="9"/>
  <c r="A19" i="9"/>
  <c r="AL18" i="9"/>
  <c r="AK18" i="9"/>
  <c r="AJ18" i="9"/>
  <c r="AI18" i="9"/>
  <c r="AH18" i="9"/>
  <c r="AG18" i="9"/>
  <c r="AF18" i="9"/>
  <c r="AE18" i="9"/>
  <c r="AD18" i="9"/>
  <c r="AC18" i="9"/>
  <c r="AB18" i="9"/>
  <c r="AA18" i="9"/>
  <c r="Z18" i="9"/>
  <c r="Y18" i="9"/>
  <c r="X18" i="9"/>
  <c r="W18" i="9"/>
  <c r="V18" i="9"/>
  <c r="U18" i="9"/>
  <c r="T18" i="9"/>
  <c r="S18" i="9"/>
  <c r="R18" i="9"/>
  <c r="Q18" i="9"/>
  <c r="P18" i="9"/>
  <c r="O18" i="9"/>
  <c r="N18" i="9"/>
  <c r="M18" i="9"/>
  <c r="L18" i="9"/>
  <c r="K18" i="9"/>
  <c r="J18" i="9"/>
  <c r="I18" i="9"/>
  <c r="H18" i="9"/>
  <c r="G18" i="9"/>
  <c r="F18" i="9"/>
  <c r="E18" i="9"/>
  <c r="D18" i="9"/>
  <c r="C18" i="9"/>
  <c r="B18" i="9"/>
  <c r="A18" i="9"/>
  <c r="AL17" i="9"/>
  <c r="AK17" i="9"/>
  <c r="AJ17" i="9"/>
  <c r="AI17" i="9"/>
  <c r="AH17" i="9"/>
  <c r="AG17" i="9"/>
  <c r="AF17" i="9"/>
  <c r="AE17" i="9"/>
  <c r="AD17" i="9"/>
  <c r="AC17" i="9"/>
  <c r="AB17" i="9"/>
  <c r="AA17" i="9"/>
  <c r="Z17" i="9"/>
  <c r="Y17" i="9"/>
  <c r="X17" i="9"/>
  <c r="W17" i="9"/>
  <c r="V17" i="9"/>
  <c r="U17" i="9"/>
  <c r="T17" i="9"/>
  <c r="S17" i="9"/>
  <c r="R17" i="9"/>
  <c r="Q17" i="9"/>
  <c r="P17" i="9"/>
  <c r="O17" i="9"/>
  <c r="N17" i="9"/>
  <c r="M17" i="9"/>
  <c r="L17" i="9"/>
  <c r="K17" i="9"/>
  <c r="J17" i="9"/>
  <c r="I17" i="9"/>
  <c r="H17" i="9"/>
  <c r="G17" i="9"/>
  <c r="F17" i="9"/>
  <c r="E17" i="9"/>
  <c r="D17" i="9"/>
  <c r="C17" i="9"/>
  <c r="B17" i="9"/>
  <c r="A17" i="9"/>
  <c r="AL16" i="9"/>
  <c r="AK16" i="9"/>
  <c r="AJ16" i="9"/>
  <c r="AI16" i="9"/>
  <c r="AH16" i="9"/>
  <c r="AG16" i="9"/>
  <c r="AF16" i="9"/>
  <c r="AE16" i="9"/>
  <c r="AD16" i="9"/>
  <c r="AC16" i="9"/>
  <c r="AB16" i="9"/>
  <c r="AA16" i="9"/>
  <c r="Z16" i="9"/>
  <c r="Y16" i="9"/>
  <c r="X16" i="9"/>
  <c r="W16" i="9"/>
  <c r="V16" i="9"/>
  <c r="U16" i="9"/>
  <c r="T16" i="9"/>
  <c r="S16" i="9"/>
  <c r="R16" i="9"/>
  <c r="Q16" i="9"/>
  <c r="P16" i="9"/>
  <c r="O16" i="9"/>
  <c r="N16" i="9"/>
  <c r="M16" i="9"/>
  <c r="L16" i="9"/>
  <c r="K16" i="9"/>
  <c r="J16" i="9"/>
  <c r="I16" i="9"/>
  <c r="H16" i="9"/>
  <c r="G16" i="9"/>
  <c r="F16" i="9"/>
  <c r="E16" i="9"/>
  <c r="D16" i="9"/>
  <c r="C16" i="9"/>
  <c r="B16" i="9"/>
  <c r="A16" i="9"/>
  <c r="AL15" i="9"/>
  <c r="AK15" i="9"/>
  <c r="AJ15" i="9"/>
  <c r="AI15" i="9"/>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AL14" i="9"/>
  <c r="AK14" i="9"/>
  <c r="AJ14" i="9"/>
  <c r="AI14" i="9"/>
  <c r="AH14" i="9"/>
  <c r="AG14" i="9"/>
  <c r="AF14" i="9"/>
  <c r="AE14" i="9"/>
  <c r="AD14" i="9"/>
  <c r="AC14"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14" i="9"/>
  <c r="AL13" i="9"/>
  <c r="AK13" i="9"/>
  <c r="AJ13" i="9"/>
  <c r="AI13" i="9"/>
  <c r="AH13" i="9"/>
  <c r="AG13" i="9"/>
  <c r="AF13" i="9"/>
  <c r="AE13" i="9"/>
  <c r="AD13" i="9"/>
  <c r="AC13" i="9"/>
  <c r="AB13" i="9"/>
  <c r="AA13" i="9"/>
  <c r="Z13" i="9"/>
  <c r="Y13" i="9"/>
  <c r="X13" i="9"/>
  <c r="W13" i="9"/>
  <c r="V13" i="9"/>
  <c r="U13" i="9"/>
  <c r="T13" i="9"/>
  <c r="S13" i="9"/>
  <c r="R13" i="9"/>
  <c r="Q13" i="9"/>
  <c r="P13" i="9"/>
  <c r="O13" i="9"/>
  <c r="N13" i="9"/>
  <c r="M13" i="9"/>
  <c r="L13" i="9"/>
  <c r="K13" i="9"/>
  <c r="J13" i="9"/>
  <c r="I13" i="9"/>
  <c r="H13" i="9"/>
  <c r="G13" i="9"/>
  <c r="F13" i="9"/>
  <c r="E13" i="9"/>
  <c r="D13" i="9"/>
  <c r="C13" i="9"/>
  <c r="B13" i="9"/>
  <c r="A13" i="9"/>
  <c r="AL12" i="9"/>
  <c r="AK12" i="9"/>
  <c r="AJ12" i="9"/>
  <c r="AI12" i="9"/>
  <c r="AH12" i="9"/>
  <c r="AG12" i="9"/>
  <c r="AF12" i="9"/>
  <c r="AE12" i="9"/>
  <c r="AD12" i="9"/>
  <c r="AC12" i="9"/>
  <c r="AB12" i="9"/>
  <c r="AA12" i="9"/>
  <c r="Z12" i="9"/>
  <c r="Y12" i="9"/>
  <c r="X12" i="9"/>
  <c r="W12" i="9"/>
  <c r="V12" i="9"/>
  <c r="U12" i="9"/>
  <c r="T12" i="9"/>
  <c r="S12" i="9"/>
  <c r="R12" i="9"/>
  <c r="Q12" i="9"/>
  <c r="P12" i="9"/>
  <c r="O12" i="9"/>
  <c r="N12" i="9"/>
  <c r="M12" i="9"/>
  <c r="L12" i="9"/>
  <c r="K12" i="9"/>
  <c r="J12" i="9"/>
  <c r="I12" i="9"/>
  <c r="H12" i="9"/>
  <c r="G12" i="9"/>
  <c r="F12" i="9"/>
  <c r="E12" i="9"/>
  <c r="D12" i="9"/>
  <c r="C12" i="9"/>
  <c r="B12" i="9"/>
  <c r="A12" i="9"/>
  <c r="AL11" i="9"/>
  <c r="AK11" i="9"/>
  <c r="AJ11" i="9"/>
  <c r="AI11" i="9"/>
  <c r="AH11" i="9"/>
  <c r="AG11" i="9"/>
  <c r="AF11" i="9"/>
  <c r="AE11" i="9"/>
  <c r="AD11" i="9"/>
  <c r="AC11" i="9"/>
  <c r="AB11" i="9"/>
  <c r="AA11" i="9"/>
  <c r="Z11" i="9"/>
  <c r="Y11" i="9"/>
  <c r="X11" i="9"/>
  <c r="W11" i="9"/>
  <c r="V11" i="9"/>
  <c r="U11" i="9"/>
  <c r="T11" i="9"/>
  <c r="S11" i="9"/>
  <c r="R11" i="9"/>
  <c r="Q11" i="9"/>
  <c r="P11" i="9"/>
  <c r="O11" i="9"/>
  <c r="N11" i="9"/>
  <c r="M11" i="9"/>
  <c r="L11" i="9"/>
  <c r="K11" i="9"/>
  <c r="J11" i="9"/>
  <c r="I11" i="9"/>
  <c r="H11" i="9"/>
  <c r="G11" i="9"/>
  <c r="F11" i="9"/>
  <c r="E11" i="9"/>
  <c r="D11" i="9"/>
  <c r="C11" i="9"/>
  <c r="B11" i="9"/>
  <c r="A11" i="9"/>
  <c r="AL10" i="9"/>
  <c r="AK10" i="9"/>
  <c r="AJ10" i="9"/>
  <c r="AI10" i="9"/>
  <c r="AH10" i="9"/>
  <c r="AG10" i="9"/>
  <c r="AF10" i="9"/>
  <c r="AE10" i="9"/>
  <c r="AD10" i="9"/>
  <c r="AC10" i="9"/>
  <c r="AB10" i="9"/>
  <c r="AA10" i="9"/>
  <c r="Z10" i="9"/>
  <c r="Y10" i="9"/>
  <c r="X10" i="9"/>
  <c r="W10" i="9"/>
  <c r="V10" i="9"/>
  <c r="U10" i="9"/>
  <c r="T10" i="9"/>
  <c r="S10" i="9"/>
  <c r="R10" i="9"/>
  <c r="Q10" i="9"/>
  <c r="P10" i="9"/>
  <c r="O10" i="9"/>
  <c r="N10" i="9"/>
  <c r="M10" i="9"/>
  <c r="L10" i="9"/>
  <c r="K10" i="9"/>
  <c r="J10" i="9"/>
  <c r="I10" i="9"/>
  <c r="H10" i="9"/>
  <c r="G10" i="9"/>
  <c r="F10" i="9"/>
  <c r="E10" i="9"/>
  <c r="D10" i="9"/>
  <c r="C10" i="9"/>
  <c r="B10" i="9"/>
  <c r="A10" i="9"/>
  <c r="AL9" i="9"/>
  <c r="AK9" i="9"/>
  <c r="AJ9" i="9"/>
  <c r="AI9" i="9"/>
  <c r="AH9" i="9"/>
  <c r="AG9" i="9"/>
  <c r="AF9" i="9"/>
  <c r="AE9" i="9"/>
  <c r="AD9" i="9"/>
  <c r="AC9" i="9"/>
  <c r="AB9" i="9"/>
  <c r="AA9" i="9"/>
  <c r="Z9" i="9"/>
  <c r="Y9" i="9"/>
  <c r="X9" i="9"/>
  <c r="W9" i="9"/>
  <c r="V9" i="9"/>
  <c r="U9" i="9"/>
  <c r="T9" i="9"/>
  <c r="S9" i="9"/>
  <c r="R9" i="9"/>
  <c r="Q9" i="9"/>
  <c r="P9" i="9"/>
  <c r="O9" i="9"/>
  <c r="N9" i="9"/>
  <c r="M9" i="9"/>
  <c r="L9" i="9"/>
  <c r="K9" i="9"/>
  <c r="J9" i="9"/>
  <c r="I9" i="9"/>
  <c r="H9" i="9"/>
  <c r="G9" i="9"/>
  <c r="F9" i="9"/>
  <c r="E9" i="9"/>
  <c r="D9" i="9"/>
  <c r="C9" i="9"/>
  <c r="B9" i="9"/>
  <c r="A9" i="9"/>
  <c r="AL8" i="9"/>
  <c r="AK8" i="9"/>
  <c r="AJ8" i="9"/>
  <c r="AI8" i="9"/>
  <c r="AH8" i="9"/>
  <c r="AG8" i="9"/>
  <c r="AF8" i="9"/>
  <c r="AE8" i="9"/>
  <c r="AD8" i="9"/>
  <c r="AC8" i="9"/>
  <c r="AB8" i="9"/>
  <c r="AA8" i="9"/>
  <c r="Z8" i="9"/>
  <c r="Y8" i="9"/>
  <c r="X8" i="9"/>
  <c r="W8" i="9"/>
  <c r="V8" i="9"/>
  <c r="U8" i="9"/>
  <c r="T8" i="9"/>
  <c r="S8" i="9"/>
  <c r="R8" i="9"/>
  <c r="Q8" i="9"/>
  <c r="P8" i="9"/>
  <c r="O8" i="9"/>
  <c r="N8" i="9"/>
  <c r="M8" i="9"/>
  <c r="L8" i="9"/>
  <c r="K8" i="9"/>
  <c r="J8" i="9"/>
  <c r="I8" i="9"/>
  <c r="H8" i="9"/>
  <c r="G8" i="9"/>
  <c r="F8" i="9"/>
  <c r="E8" i="9"/>
  <c r="D8" i="9"/>
  <c r="C8" i="9"/>
  <c r="B8" i="9"/>
  <c r="A8" i="9"/>
  <c r="AL7" i="9"/>
  <c r="AK7" i="9"/>
  <c r="AJ7" i="9"/>
  <c r="AI7" i="9"/>
  <c r="AH7" i="9"/>
  <c r="AG7" i="9"/>
  <c r="AF7" i="9"/>
  <c r="AE7" i="9"/>
  <c r="AD7" i="9"/>
  <c r="AC7" i="9"/>
  <c r="AB7" i="9"/>
  <c r="AA7" i="9"/>
  <c r="Z7" i="9"/>
  <c r="Y7" i="9"/>
  <c r="X7" i="9"/>
  <c r="W7" i="9"/>
  <c r="V7" i="9"/>
  <c r="U7" i="9"/>
  <c r="T7" i="9"/>
  <c r="S7" i="9"/>
  <c r="R7" i="9"/>
  <c r="Q7" i="9"/>
  <c r="P7" i="9"/>
  <c r="O7" i="9"/>
  <c r="N7" i="9"/>
  <c r="M7" i="9"/>
  <c r="L7" i="9"/>
  <c r="K7" i="9"/>
  <c r="J7" i="9"/>
  <c r="I7" i="9"/>
  <c r="H7" i="9"/>
  <c r="G7" i="9"/>
  <c r="F7" i="9"/>
  <c r="E7" i="9"/>
  <c r="D7" i="9"/>
  <c r="C7" i="9"/>
  <c r="B7" i="9"/>
  <c r="A7" i="9"/>
  <c r="F36" i="7"/>
  <c r="E36" i="7"/>
  <c r="D36" i="7"/>
  <c r="F35" i="7"/>
  <c r="E35" i="7"/>
  <c r="D35" i="7"/>
  <c r="F34" i="7"/>
  <c r="E34" i="7"/>
  <c r="D34" i="7"/>
  <c r="F33" i="7"/>
  <c r="E33" i="7"/>
  <c r="D33" i="7"/>
  <c r="F32" i="7"/>
  <c r="E32" i="7"/>
  <c r="D32" i="7"/>
  <c r="F31" i="7"/>
  <c r="E31" i="7"/>
  <c r="D31" i="7"/>
  <c r="F30" i="7"/>
  <c r="E30" i="7"/>
  <c r="D30" i="7"/>
  <c r="F29" i="7"/>
  <c r="E29" i="7"/>
  <c r="D29" i="7"/>
  <c r="F28" i="7"/>
  <c r="E28" i="7"/>
  <c r="D28" i="7"/>
  <c r="F27" i="7"/>
  <c r="E27" i="7"/>
  <c r="D27" i="7"/>
  <c r="F26" i="7"/>
  <c r="E26" i="7"/>
  <c r="D26" i="7"/>
  <c r="F25" i="7"/>
  <c r="E25" i="7"/>
  <c r="D25" i="7"/>
  <c r="F24" i="7"/>
  <c r="E24" i="7"/>
  <c r="D24" i="7"/>
  <c r="F23" i="7"/>
  <c r="E23" i="7"/>
  <c r="D23" i="7"/>
  <c r="F22" i="7"/>
  <c r="E22" i="7"/>
  <c r="D22" i="7"/>
  <c r="F21" i="7"/>
  <c r="E21" i="7"/>
  <c r="D21" i="7"/>
  <c r="F20" i="7"/>
  <c r="E20" i="7"/>
  <c r="D20" i="7"/>
  <c r="F19" i="7"/>
  <c r="E19" i="7"/>
  <c r="D19" i="7"/>
  <c r="F18" i="7"/>
  <c r="E18" i="7"/>
  <c r="D18" i="7"/>
  <c r="F17" i="7"/>
  <c r="E17" i="7"/>
  <c r="D17" i="7"/>
  <c r="F16" i="7"/>
  <c r="E16" i="7"/>
  <c r="D16" i="7"/>
  <c r="F15" i="7"/>
  <c r="E15" i="7"/>
  <c r="D15" i="7"/>
  <c r="F14" i="7"/>
  <c r="E14" i="7"/>
  <c r="D14" i="7"/>
  <c r="J395" i="4"/>
  <c r="I395" i="4"/>
  <c r="F395" i="4"/>
  <c r="E395" i="4"/>
  <c r="H395" i="4" s="1"/>
  <c r="J394" i="4"/>
  <c r="I394" i="4"/>
  <c r="F394" i="4"/>
  <c r="E394" i="4"/>
  <c r="G394" i="4" s="1"/>
  <c r="J393" i="4"/>
  <c r="I393" i="4"/>
  <c r="H393" i="4"/>
  <c r="E393" i="4"/>
  <c r="G393" i="4" s="1"/>
  <c r="J392" i="4"/>
  <c r="I392" i="4"/>
  <c r="H392" i="4"/>
  <c r="F392" i="4"/>
  <c r="E392" i="4"/>
  <c r="G392" i="4" s="1"/>
  <c r="J391" i="4"/>
  <c r="I391" i="4"/>
  <c r="H391" i="4"/>
  <c r="F391" i="4"/>
  <c r="E391" i="4"/>
  <c r="G391" i="4" s="1"/>
  <c r="J390" i="4"/>
  <c r="I390" i="4"/>
  <c r="H390" i="4"/>
  <c r="G390" i="4"/>
  <c r="F390" i="4"/>
  <c r="E390" i="4"/>
  <c r="J389" i="4"/>
  <c r="I389" i="4"/>
  <c r="H389" i="4"/>
  <c r="F389" i="4"/>
  <c r="E389" i="4"/>
  <c r="G389" i="4" s="1"/>
  <c r="J388" i="4"/>
  <c r="I388" i="4"/>
  <c r="H388" i="4"/>
  <c r="G388" i="4"/>
  <c r="F388" i="4"/>
  <c r="E388" i="4"/>
  <c r="J387" i="4"/>
  <c r="I387" i="4"/>
  <c r="H387" i="4"/>
  <c r="F387" i="4"/>
  <c r="E387" i="4"/>
  <c r="G387" i="4" s="1"/>
  <c r="J386" i="4"/>
  <c r="I386" i="4"/>
  <c r="H386" i="4"/>
  <c r="G386" i="4"/>
  <c r="F386" i="4"/>
  <c r="E386" i="4"/>
  <c r="J385" i="4"/>
  <c r="I385" i="4"/>
  <c r="H385" i="4"/>
  <c r="F385" i="4"/>
  <c r="E385" i="4"/>
  <c r="G385" i="4" s="1"/>
  <c r="J384" i="4"/>
  <c r="I384" i="4"/>
  <c r="H384" i="4"/>
  <c r="G384" i="4"/>
  <c r="F384" i="4"/>
  <c r="E384" i="4"/>
  <c r="J383" i="4"/>
  <c r="I383" i="4"/>
  <c r="H383" i="4"/>
  <c r="F383" i="4"/>
  <c r="E383" i="4"/>
  <c r="G383" i="4" s="1"/>
  <c r="J382" i="4"/>
  <c r="I382" i="4"/>
  <c r="H382" i="4"/>
  <c r="G382" i="4"/>
  <c r="F382" i="4"/>
  <c r="E382" i="4"/>
  <c r="J381" i="4"/>
  <c r="I381" i="4"/>
  <c r="H381" i="4"/>
  <c r="F381" i="4"/>
  <c r="E381" i="4"/>
  <c r="G381" i="4" s="1"/>
  <c r="J380" i="4"/>
  <c r="I380" i="4"/>
  <c r="H380" i="4"/>
  <c r="G380" i="4"/>
  <c r="F380" i="4"/>
  <c r="E380" i="4"/>
  <c r="J379" i="4"/>
  <c r="I379" i="4"/>
  <c r="H379" i="4"/>
  <c r="F379" i="4"/>
  <c r="E379" i="4"/>
  <c r="G379" i="4" s="1"/>
  <c r="J378" i="4"/>
  <c r="I378" i="4"/>
  <c r="H378" i="4"/>
  <c r="G378" i="4"/>
  <c r="F378" i="4"/>
  <c r="E378" i="4"/>
  <c r="J377" i="4"/>
  <c r="I377" i="4"/>
  <c r="H377" i="4"/>
  <c r="F377" i="4"/>
  <c r="E377" i="4"/>
  <c r="G377" i="4" s="1"/>
  <c r="J376" i="4"/>
  <c r="I376" i="4"/>
  <c r="H376" i="4"/>
  <c r="G376" i="4"/>
  <c r="F376" i="4"/>
  <c r="E376" i="4"/>
  <c r="J375" i="4"/>
  <c r="I375" i="4"/>
  <c r="H375" i="4"/>
  <c r="F375" i="4"/>
  <c r="E375" i="4"/>
  <c r="G375" i="4" s="1"/>
  <c r="J374" i="4"/>
  <c r="I374" i="4"/>
  <c r="H374" i="4"/>
  <c r="G374" i="4"/>
  <c r="F374" i="4"/>
  <c r="E374" i="4"/>
  <c r="J373" i="4"/>
  <c r="I373" i="4"/>
  <c r="H373" i="4"/>
  <c r="F373" i="4"/>
  <c r="E373" i="4"/>
  <c r="D21" i="5" s="1"/>
  <c r="J372" i="4"/>
  <c r="I372" i="4"/>
  <c r="H372" i="4"/>
  <c r="G372" i="4"/>
  <c r="F372" i="4"/>
  <c r="E372" i="4"/>
  <c r="J371" i="4"/>
  <c r="I371" i="4"/>
  <c r="H371" i="4"/>
  <c r="F371" i="4"/>
  <c r="E371" i="4"/>
  <c r="G371" i="4" s="1"/>
  <c r="J370" i="4"/>
  <c r="I370" i="4"/>
  <c r="H370" i="4"/>
  <c r="G370" i="4"/>
  <c r="F370" i="4"/>
  <c r="E370" i="4"/>
  <c r="J369" i="4"/>
  <c r="I369" i="4"/>
  <c r="H369" i="4"/>
  <c r="F369" i="4"/>
  <c r="E369" i="4"/>
  <c r="G369" i="4" s="1"/>
  <c r="J368" i="4"/>
  <c r="I368" i="4"/>
  <c r="H368" i="4"/>
  <c r="G368" i="4"/>
  <c r="F368" i="4"/>
  <c r="E368" i="4"/>
  <c r="J367" i="4"/>
  <c r="I367" i="4"/>
  <c r="H367" i="4"/>
  <c r="F367" i="4"/>
  <c r="E367" i="4"/>
  <c r="G367" i="4" s="1"/>
  <c r="J366" i="4"/>
  <c r="I366" i="4"/>
  <c r="H366" i="4"/>
  <c r="G366" i="4"/>
  <c r="F366" i="4"/>
  <c r="E366" i="4"/>
  <c r="J365" i="4"/>
  <c r="I365" i="4"/>
  <c r="H365" i="4"/>
  <c r="F365" i="4"/>
  <c r="E365" i="4"/>
  <c r="G365" i="4" s="1"/>
  <c r="J364" i="4"/>
  <c r="I364" i="4"/>
  <c r="H364" i="4"/>
  <c r="G364" i="4"/>
  <c r="F364" i="4"/>
  <c r="E364" i="4"/>
  <c r="J363" i="4"/>
  <c r="I363" i="4"/>
  <c r="H363" i="4"/>
  <c r="F363" i="4"/>
  <c r="E363" i="4"/>
  <c r="G363" i="4" s="1"/>
  <c r="J362" i="4"/>
  <c r="I362" i="4"/>
  <c r="H362" i="4"/>
  <c r="G362" i="4"/>
  <c r="F362" i="4"/>
  <c r="E362" i="4"/>
  <c r="J361" i="4"/>
  <c r="I361" i="4"/>
  <c r="H361" i="4"/>
  <c r="F361" i="4"/>
  <c r="E361" i="4"/>
  <c r="G361" i="4" s="1"/>
  <c r="J360" i="4"/>
  <c r="I360" i="4"/>
  <c r="H360" i="4"/>
  <c r="G360" i="4"/>
  <c r="F360" i="4"/>
  <c r="E360" i="4"/>
  <c r="J359" i="4"/>
  <c r="I359" i="4"/>
  <c r="H359" i="4"/>
  <c r="F359" i="4"/>
  <c r="E359" i="4"/>
  <c r="G359" i="4" s="1"/>
  <c r="J358" i="4"/>
  <c r="I358" i="4"/>
  <c r="H358" i="4"/>
  <c r="G358" i="4"/>
  <c r="F358" i="4"/>
  <c r="E358" i="4"/>
  <c r="J357" i="4"/>
  <c r="I357" i="4"/>
  <c r="H357" i="4"/>
  <c r="F357" i="4"/>
  <c r="E357" i="4"/>
  <c r="G357" i="4" s="1"/>
  <c r="J356" i="4"/>
  <c r="I356" i="4"/>
  <c r="H356" i="4"/>
  <c r="G356" i="4"/>
  <c r="F356" i="4"/>
  <c r="E356" i="4"/>
  <c r="J355" i="4"/>
  <c r="I355" i="4"/>
  <c r="H355" i="4"/>
  <c r="F355" i="4"/>
  <c r="E355" i="4"/>
  <c r="G355" i="4" s="1"/>
  <c r="J354" i="4"/>
  <c r="I354" i="4"/>
  <c r="H354" i="4"/>
  <c r="G354" i="4"/>
  <c r="F354" i="4"/>
  <c r="E354" i="4"/>
  <c r="J353" i="4"/>
  <c r="I353" i="4"/>
  <c r="H353" i="4"/>
  <c r="F353" i="4"/>
  <c r="E353" i="4"/>
  <c r="G353" i="4" s="1"/>
  <c r="J352" i="4"/>
  <c r="I352" i="4"/>
  <c r="H352" i="4"/>
  <c r="G352" i="4"/>
  <c r="F352" i="4"/>
  <c r="E352" i="4"/>
  <c r="J351" i="4"/>
  <c r="I351" i="4"/>
  <c r="H351" i="4"/>
  <c r="F351" i="4"/>
  <c r="E351" i="4"/>
  <c r="G351" i="4" s="1"/>
  <c r="J350" i="4"/>
  <c r="I350" i="4"/>
  <c r="H350" i="4"/>
  <c r="G350" i="4"/>
  <c r="F350" i="4"/>
  <c r="E350" i="4"/>
  <c r="C20" i="5" s="1"/>
  <c r="F20" i="5" s="1"/>
  <c r="J349" i="4"/>
  <c r="I349" i="4"/>
  <c r="H349" i="4"/>
  <c r="F349" i="4"/>
  <c r="E349" i="4"/>
  <c r="G349" i="4" s="1"/>
  <c r="J348" i="4"/>
  <c r="I348" i="4"/>
  <c r="H348" i="4"/>
  <c r="G348" i="4"/>
  <c r="F348" i="4"/>
  <c r="E348" i="4"/>
  <c r="J347" i="4"/>
  <c r="I347" i="4"/>
  <c r="H347" i="4"/>
  <c r="F347" i="4"/>
  <c r="E347" i="4"/>
  <c r="G347" i="4" s="1"/>
  <c r="J346" i="4"/>
  <c r="I346" i="4"/>
  <c r="H346" i="4"/>
  <c r="G346" i="4"/>
  <c r="F346" i="4"/>
  <c r="E346" i="4"/>
  <c r="J345" i="4"/>
  <c r="I345" i="4"/>
  <c r="H345" i="4"/>
  <c r="F345" i="4"/>
  <c r="E345" i="4"/>
  <c r="G345" i="4" s="1"/>
  <c r="J344" i="4"/>
  <c r="I344" i="4"/>
  <c r="H344" i="4"/>
  <c r="G344" i="4"/>
  <c r="F344" i="4"/>
  <c r="E344" i="4"/>
  <c r="J343" i="4"/>
  <c r="I343" i="4"/>
  <c r="H343" i="4"/>
  <c r="F343" i="4"/>
  <c r="E343" i="4"/>
  <c r="G343" i="4" s="1"/>
  <c r="J342" i="4"/>
  <c r="I342" i="4"/>
  <c r="H342" i="4"/>
  <c r="G342" i="4"/>
  <c r="F342" i="4"/>
  <c r="E342" i="4"/>
  <c r="J341" i="4"/>
  <c r="I341" i="4"/>
  <c r="H341" i="4"/>
  <c r="F341" i="4"/>
  <c r="E341" i="4"/>
  <c r="G341" i="4" s="1"/>
  <c r="J340" i="4"/>
  <c r="I340" i="4"/>
  <c r="H340" i="4"/>
  <c r="G340" i="4"/>
  <c r="F340" i="4"/>
  <c r="E340" i="4"/>
  <c r="J339" i="4"/>
  <c r="I339" i="4"/>
  <c r="H339" i="4"/>
  <c r="F339" i="4"/>
  <c r="E339" i="4"/>
  <c r="G339" i="4" s="1"/>
  <c r="J338" i="4"/>
  <c r="I338" i="4"/>
  <c r="H338" i="4"/>
  <c r="G338" i="4"/>
  <c r="F338" i="4"/>
  <c r="E338" i="4"/>
  <c r="J337" i="4"/>
  <c r="I337" i="4"/>
  <c r="H337" i="4"/>
  <c r="F337" i="4"/>
  <c r="E337" i="4"/>
  <c r="G337" i="4" s="1"/>
  <c r="J336" i="4"/>
  <c r="I336" i="4"/>
  <c r="H336" i="4"/>
  <c r="G336" i="4"/>
  <c r="F336" i="4"/>
  <c r="E336" i="4"/>
  <c r="J335" i="4"/>
  <c r="I335" i="4"/>
  <c r="H335" i="4"/>
  <c r="F335" i="4"/>
  <c r="E335" i="4"/>
  <c r="G335" i="4" s="1"/>
  <c r="J334" i="4"/>
  <c r="I334" i="4"/>
  <c r="H334" i="4"/>
  <c r="G334" i="4"/>
  <c r="F334" i="4"/>
  <c r="E334" i="4"/>
  <c r="J333" i="4"/>
  <c r="I333" i="4"/>
  <c r="H333" i="4"/>
  <c r="F333" i="4"/>
  <c r="E333" i="4"/>
  <c r="G333" i="4" s="1"/>
  <c r="J332" i="4"/>
  <c r="I332" i="4"/>
  <c r="H332" i="4"/>
  <c r="G332" i="4"/>
  <c r="F332" i="4"/>
  <c r="E332" i="4"/>
  <c r="J331" i="4"/>
  <c r="I331" i="4"/>
  <c r="H331" i="4"/>
  <c r="F331" i="4"/>
  <c r="E331" i="4"/>
  <c r="G331" i="4" s="1"/>
  <c r="J330" i="4"/>
  <c r="I330" i="4"/>
  <c r="H330" i="4"/>
  <c r="G330" i="4"/>
  <c r="F330" i="4"/>
  <c r="E330" i="4"/>
  <c r="J329" i="4"/>
  <c r="I329" i="4"/>
  <c r="H329" i="4"/>
  <c r="F329" i="4"/>
  <c r="E329" i="4"/>
  <c r="G329" i="4" s="1"/>
  <c r="J328" i="4"/>
  <c r="I328" i="4"/>
  <c r="H328" i="4"/>
  <c r="G328" i="4"/>
  <c r="F328" i="4"/>
  <c r="E328" i="4"/>
  <c r="J327" i="4"/>
  <c r="I327" i="4"/>
  <c r="H327" i="4"/>
  <c r="F327" i="4"/>
  <c r="E327" i="4"/>
  <c r="B19" i="5" s="1"/>
  <c r="J326" i="4"/>
  <c r="I326" i="4"/>
  <c r="H326" i="4"/>
  <c r="G326" i="4"/>
  <c r="F326" i="4"/>
  <c r="E326" i="4"/>
  <c r="J325" i="4"/>
  <c r="I325" i="4"/>
  <c r="H325" i="4"/>
  <c r="F325" i="4"/>
  <c r="E325" i="4"/>
  <c r="G325" i="4" s="1"/>
  <c r="J324" i="4"/>
  <c r="I324" i="4"/>
  <c r="H324" i="4"/>
  <c r="G324" i="4"/>
  <c r="F324" i="4"/>
  <c r="E324" i="4"/>
  <c r="J323" i="4"/>
  <c r="I323" i="4"/>
  <c r="H323" i="4"/>
  <c r="F323" i="4"/>
  <c r="E323" i="4"/>
  <c r="G323" i="4" s="1"/>
  <c r="J322" i="4"/>
  <c r="I322" i="4"/>
  <c r="H322" i="4"/>
  <c r="G322" i="4"/>
  <c r="F322" i="4"/>
  <c r="E322" i="4"/>
  <c r="J321" i="4"/>
  <c r="I321" i="4"/>
  <c r="H321" i="4"/>
  <c r="F321" i="4"/>
  <c r="E321" i="4"/>
  <c r="G321" i="4" s="1"/>
  <c r="J320" i="4"/>
  <c r="I320" i="4"/>
  <c r="H320" i="4"/>
  <c r="G320" i="4"/>
  <c r="F320" i="4"/>
  <c r="E320" i="4"/>
  <c r="J319" i="4"/>
  <c r="I319" i="4"/>
  <c r="H319" i="4"/>
  <c r="F319" i="4"/>
  <c r="E319" i="4"/>
  <c r="G319" i="4" s="1"/>
  <c r="J318" i="4"/>
  <c r="I318" i="4"/>
  <c r="H318" i="4"/>
  <c r="G318" i="4"/>
  <c r="F318" i="4"/>
  <c r="E318" i="4"/>
  <c r="J317" i="4"/>
  <c r="I317" i="4"/>
  <c r="H317" i="4"/>
  <c r="F317" i="4"/>
  <c r="E317" i="4"/>
  <c r="G317" i="4" s="1"/>
  <c r="J316" i="4"/>
  <c r="I316" i="4"/>
  <c r="H316" i="4"/>
  <c r="G316" i="4"/>
  <c r="F316" i="4"/>
  <c r="E316" i="4"/>
  <c r="J315" i="4"/>
  <c r="I315" i="4"/>
  <c r="H315" i="4"/>
  <c r="F315" i="4"/>
  <c r="E315" i="4"/>
  <c r="G315" i="4" s="1"/>
  <c r="J314" i="4"/>
  <c r="I314" i="4"/>
  <c r="H314" i="4"/>
  <c r="G314" i="4"/>
  <c r="F314" i="4"/>
  <c r="E314" i="4"/>
  <c r="J313" i="4"/>
  <c r="I313" i="4"/>
  <c r="H313" i="4"/>
  <c r="F313" i="4"/>
  <c r="E313" i="4"/>
  <c r="G313" i="4" s="1"/>
  <c r="J312" i="4"/>
  <c r="I312" i="4"/>
  <c r="H312" i="4"/>
  <c r="G312" i="4"/>
  <c r="F312" i="4"/>
  <c r="E312" i="4"/>
  <c r="J311" i="4"/>
  <c r="I311" i="4"/>
  <c r="H311" i="4"/>
  <c r="F311" i="4"/>
  <c r="E311" i="4"/>
  <c r="G311" i="4" s="1"/>
  <c r="J310" i="4"/>
  <c r="I310" i="4"/>
  <c r="H310" i="4"/>
  <c r="G310" i="4"/>
  <c r="F310" i="4"/>
  <c r="E310" i="4"/>
  <c r="J309" i="4"/>
  <c r="I309" i="4"/>
  <c r="H309" i="4"/>
  <c r="F309" i="4"/>
  <c r="E309" i="4"/>
  <c r="G309" i="4" s="1"/>
  <c r="J308" i="4"/>
  <c r="I308" i="4"/>
  <c r="H308" i="4"/>
  <c r="G308" i="4"/>
  <c r="F308" i="4"/>
  <c r="E308" i="4"/>
  <c r="J307" i="4"/>
  <c r="I307" i="4"/>
  <c r="H307" i="4"/>
  <c r="F307" i="4"/>
  <c r="E307" i="4"/>
  <c r="G307" i="4" s="1"/>
  <c r="J306" i="4"/>
  <c r="I306" i="4"/>
  <c r="H306" i="4"/>
  <c r="G306" i="4"/>
  <c r="F306" i="4"/>
  <c r="E306" i="4"/>
  <c r="J305" i="4"/>
  <c r="I305" i="4"/>
  <c r="H305" i="4"/>
  <c r="F305" i="4"/>
  <c r="E305" i="4"/>
  <c r="G305" i="4" s="1"/>
  <c r="J304" i="4"/>
  <c r="I304" i="4"/>
  <c r="H304" i="4"/>
  <c r="G304" i="4"/>
  <c r="F304" i="4"/>
  <c r="H18" i="5" s="1"/>
  <c r="E304" i="4"/>
  <c r="D18" i="5" s="1"/>
  <c r="J303" i="4"/>
  <c r="I303" i="4"/>
  <c r="H303" i="4"/>
  <c r="F303" i="4"/>
  <c r="E303" i="4"/>
  <c r="G303" i="4" s="1"/>
  <c r="J302" i="4"/>
  <c r="I302" i="4"/>
  <c r="H302" i="4"/>
  <c r="G302" i="4"/>
  <c r="F302" i="4"/>
  <c r="E302" i="4"/>
  <c r="J301" i="4"/>
  <c r="I301" i="4"/>
  <c r="H301" i="4"/>
  <c r="F301" i="4"/>
  <c r="E301" i="4"/>
  <c r="G301" i="4" s="1"/>
  <c r="J300" i="4"/>
  <c r="I300" i="4"/>
  <c r="H300" i="4"/>
  <c r="G300" i="4"/>
  <c r="F300" i="4"/>
  <c r="E300" i="4"/>
  <c r="J299" i="4"/>
  <c r="I299" i="4"/>
  <c r="E299" i="4"/>
  <c r="J298" i="4"/>
  <c r="I298" i="4"/>
  <c r="H298" i="4"/>
  <c r="G298" i="4"/>
  <c r="F298" i="4"/>
  <c r="E298" i="4"/>
  <c r="J297" i="4"/>
  <c r="I297" i="4"/>
  <c r="E297" i="4"/>
  <c r="J296" i="4"/>
  <c r="I296" i="4"/>
  <c r="H296" i="4"/>
  <c r="G296" i="4"/>
  <c r="F296" i="4"/>
  <c r="E296" i="4"/>
  <c r="J295" i="4"/>
  <c r="I295" i="4"/>
  <c r="H295" i="4"/>
  <c r="E295" i="4"/>
  <c r="G295" i="4" s="1"/>
  <c r="J294" i="4"/>
  <c r="I294" i="4"/>
  <c r="H294" i="4"/>
  <c r="G294" i="4"/>
  <c r="F294" i="4"/>
  <c r="E294" i="4"/>
  <c r="J293" i="4"/>
  <c r="I293" i="4"/>
  <c r="H293" i="4"/>
  <c r="F293" i="4"/>
  <c r="E293" i="4"/>
  <c r="G293" i="4" s="1"/>
  <c r="J292" i="4"/>
  <c r="I292" i="4"/>
  <c r="H292" i="4"/>
  <c r="G292" i="4"/>
  <c r="F292" i="4"/>
  <c r="E292" i="4"/>
  <c r="J291" i="4"/>
  <c r="I291" i="4"/>
  <c r="E291" i="4"/>
  <c r="J290" i="4"/>
  <c r="I290" i="4"/>
  <c r="H290" i="4"/>
  <c r="G290" i="4"/>
  <c r="F290" i="4"/>
  <c r="E290" i="4"/>
  <c r="J289" i="4"/>
  <c r="I289" i="4"/>
  <c r="E289" i="4"/>
  <c r="J288" i="4"/>
  <c r="I288" i="4"/>
  <c r="H288" i="4"/>
  <c r="G288" i="4"/>
  <c r="F288" i="4"/>
  <c r="E288" i="4"/>
  <c r="J287" i="4"/>
  <c r="I287" i="4"/>
  <c r="H287" i="4"/>
  <c r="E287" i="4"/>
  <c r="G287" i="4" s="1"/>
  <c r="J286" i="4"/>
  <c r="I286" i="4"/>
  <c r="E286" i="4"/>
  <c r="J285" i="4"/>
  <c r="I285" i="4"/>
  <c r="H285" i="4"/>
  <c r="G285" i="4"/>
  <c r="E285" i="4"/>
  <c r="F285" i="4" s="1"/>
  <c r="J284" i="4"/>
  <c r="I284" i="4"/>
  <c r="E284" i="4"/>
  <c r="J283" i="4"/>
  <c r="I283" i="4"/>
  <c r="H283" i="4"/>
  <c r="G283" i="4"/>
  <c r="E283" i="4"/>
  <c r="F283" i="4" s="1"/>
  <c r="J282" i="4"/>
  <c r="I282" i="4"/>
  <c r="E282" i="4"/>
  <c r="J281" i="4"/>
  <c r="I281" i="4"/>
  <c r="H281" i="4"/>
  <c r="G281" i="4"/>
  <c r="E281" i="4"/>
  <c r="J280" i="4"/>
  <c r="I280" i="4"/>
  <c r="F280" i="4"/>
  <c r="E280" i="4"/>
  <c r="J279" i="4"/>
  <c r="I279" i="4"/>
  <c r="H279" i="4"/>
  <c r="G279" i="4"/>
  <c r="E279" i="4"/>
  <c r="F279" i="4" s="1"/>
  <c r="J278" i="4"/>
  <c r="I278" i="4"/>
  <c r="E278" i="4"/>
  <c r="J277" i="4"/>
  <c r="I277" i="4"/>
  <c r="H277" i="4"/>
  <c r="G277" i="4"/>
  <c r="E277" i="4"/>
  <c r="F277" i="4" s="1"/>
  <c r="J276" i="4"/>
  <c r="I276" i="4"/>
  <c r="E276" i="4"/>
  <c r="J275" i="4"/>
  <c r="I275" i="4"/>
  <c r="H275" i="4"/>
  <c r="G275" i="4"/>
  <c r="E275" i="4"/>
  <c r="F275" i="4" s="1"/>
  <c r="J274" i="4"/>
  <c r="I274" i="4"/>
  <c r="E274" i="4"/>
  <c r="J273" i="4"/>
  <c r="I273" i="4"/>
  <c r="H273" i="4"/>
  <c r="G273" i="4"/>
  <c r="E273" i="4"/>
  <c r="F273" i="4" s="1"/>
  <c r="J272" i="4"/>
  <c r="I272" i="4"/>
  <c r="F272" i="4"/>
  <c r="E272" i="4"/>
  <c r="J271" i="4"/>
  <c r="I271" i="4"/>
  <c r="H271" i="4"/>
  <c r="G271" i="4"/>
  <c r="E271" i="4"/>
  <c r="F271" i="4" s="1"/>
  <c r="J270" i="4"/>
  <c r="I270" i="4"/>
  <c r="E270" i="4"/>
  <c r="J269" i="4"/>
  <c r="I269" i="4"/>
  <c r="H269" i="4"/>
  <c r="G269" i="4"/>
  <c r="E269" i="4"/>
  <c r="F269" i="4" s="1"/>
  <c r="J268" i="4"/>
  <c r="I268" i="4"/>
  <c r="E268" i="4"/>
  <c r="J267" i="4"/>
  <c r="I267" i="4"/>
  <c r="H267" i="4"/>
  <c r="G267" i="4"/>
  <c r="E267" i="4"/>
  <c r="F267" i="4" s="1"/>
  <c r="J266" i="4"/>
  <c r="I266" i="4"/>
  <c r="E266" i="4"/>
  <c r="F266" i="4" s="1"/>
  <c r="J265" i="4"/>
  <c r="I265" i="4"/>
  <c r="H265" i="4"/>
  <c r="G265" i="4"/>
  <c r="E265" i="4"/>
  <c r="F265" i="4" s="1"/>
  <c r="J264" i="4"/>
  <c r="I264" i="4"/>
  <c r="F264" i="4"/>
  <c r="E264" i="4"/>
  <c r="J263" i="4"/>
  <c r="I263" i="4"/>
  <c r="H263" i="4"/>
  <c r="G263" i="4"/>
  <c r="E263" i="4"/>
  <c r="F263" i="4" s="1"/>
  <c r="J262" i="4"/>
  <c r="I262" i="4"/>
  <c r="E262" i="4"/>
  <c r="J261" i="4"/>
  <c r="I261" i="4"/>
  <c r="H261" i="4"/>
  <c r="G261" i="4"/>
  <c r="E261" i="4"/>
  <c r="F261" i="4" s="1"/>
  <c r="J260" i="4"/>
  <c r="I260" i="4"/>
  <c r="E260" i="4"/>
  <c r="J259" i="4"/>
  <c r="I259" i="4"/>
  <c r="H259" i="4"/>
  <c r="G259" i="4"/>
  <c r="E259" i="4"/>
  <c r="F259" i="4" s="1"/>
  <c r="J258" i="4"/>
  <c r="I258" i="4"/>
  <c r="E258" i="4"/>
  <c r="J257" i="4"/>
  <c r="I257" i="4"/>
  <c r="H257" i="4"/>
  <c r="G257" i="4"/>
  <c r="E257" i="4"/>
  <c r="F257" i="4" s="1"/>
  <c r="J256" i="4"/>
  <c r="I256" i="4"/>
  <c r="F256" i="4"/>
  <c r="E256" i="4"/>
  <c r="J255" i="4"/>
  <c r="I255" i="4"/>
  <c r="H255" i="4"/>
  <c r="G255" i="4"/>
  <c r="E255" i="4"/>
  <c r="F255" i="4" s="1"/>
  <c r="J254" i="4"/>
  <c r="I254" i="4"/>
  <c r="E254" i="4"/>
  <c r="J253" i="4"/>
  <c r="I253" i="4"/>
  <c r="H253" i="4"/>
  <c r="G253" i="4"/>
  <c r="E253" i="4"/>
  <c r="F253" i="4" s="1"/>
  <c r="J252" i="4"/>
  <c r="I252" i="4"/>
  <c r="E252" i="4"/>
  <c r="J251" i="4"/>
  <c r="I251" i="4"/>
  <c r="H251" i="4"/>
  <c r="G251" i="4"/>
  <c r="E251" i="4"/>
  <c r="F251" i="4" s="1"/>
  <c r="J250" i="4"/>
  <c r="I250" i="4"/>
  <c r="E250" i="4"/>
  <c r="J249" i="4"/>
  <c r="I249" i="4"/>
  <c r="H249" i="4"/>
  <c r="G249" i="4"/>
  <c r="E249" i="4"/>
  <c r="F249" i="4" s="1"/>
  <c r="J248" i="4"/>
  <c r="I248" i="4"/>
  <c r="F248" i="4"/>
  <c r="E248" i="4"/>
  <c r="J247" i="4"/>
  <c r="I247" i="4"/>
  <c r="H247" i="4"/>
  <c r="G247" i="4"/>
  <c r="E247" i="4"/>
  <c r="F247" i="4" s="1"/>
  <c r="J246" i="4"/>
  <c r="I246" i="4"/>
  <c r="E246" i="4"/>
  <c r="J245" i="4"/>
  <c r="I245" i="4"/>
  <c r="H245" i="4"/>
  <c r="G245" i="4"/>
  <c r="E245" i="4"/>
  <c r="F245" i="4" s="1"/>
  <c r="J244" i="4"/>
  <c r="I244" i="4"/>
  <c r="E244" i="4"/>
  <c r="J243" i="4"/>
  <c r="I243" i="4"/>
  <c r="H243" i="4"/>
  <c r="G243" i="4"/>
  <c r="E243" i="4"/>
  <c r="F243" i="4" s="1"/>
  <c r="J242" i="4"/>
  <c r="I242" i="4"/>
  <c r="E242" i="4"/>
  <c r="J241" i="4"/>
  <c r="I241" i="4"/>
  <c r="H241" i="4"/>
  <c r="G241" i="4"/>
  <c r="E241" i="4"/>
  <c r="F241" i="4" s="1"/>
  <c r="J240" i="4"/>
  <c r="I240" i="4"/>
  <c r="F240" i="4"/>
  <c r="E240" i="4"/>
  <c r="J239" i="4"/>
  <c r="I239" i="4"/>
  <c r="H239" i="4"/>
  <c r="G239" i="4"/>
  <c r="E239" i="4"/>
  <c r="F239" i="4" s="1"/>
  <c r="J238" i="4"/>
  <c r="I238" i="4"/>
  <c r="E238" i="4"/>
  <c r="J237" i="4"/>
  <c r="I237" i="4"/>
  <c r="H237" i="4"/>
  <c r="G237" i="4"/>
  <c r="E237" i="4"/>
  <c r="F237" i="4" s="1"/>
  <c r="J236" i="4"/>
  <c r="I236" i="4"/>
  <c r="E236" i="4"/>
  <c r="J235" i="4"/>
  <c r="I235" i="4"/>
  <c r="H235" i="4"/>
  <c r="G235" i="4"/>
  <c r="E235" i="4"/>
  <c r="J234" i="4"/>
  <c r="I234" i="4"/>
  <c r="E234" i="4"/>
  <c r="J233" i="4"/>
  <c r="I233" i="4"/>
  <c r="H233" i="4"/>
  <c r="G233" i="4"/>
  <c r="E233" i="4"/>
  <c r="F233" i="4" s="1"/>
  <c r="J232" i="4"/>
  <c r="I232" i="4"/>
  <c r="F232" i="4"/>
  <c r="E232" i="4"/>
  <c r="J231" i="4"/>
  <c r="I231" i="4"/>
  <c r="H231" i="4"/>
  <c r="G231" i="4"/>
  <c r="E231" i="4"/>
  <c r="F231" i="4" s="1"/>
  <c r="J230" i="4"/>
  <c r="I230" i="4"/>
  <c r="E230" i="4"/>
  <c r="J229" i="4"/>
  <c r="I229" i="4"/>
  <c r="H229" i="4"/>
  <c r="G229" i="4"/>
  <c r="E229" i="4"/>
  <c r="F229" i="4" s="1"/>
  <c r="J228" i="4"/>
  <c r="I228" i="4"/>
  <c r="E228" i="4"/>
  <c r="J227" i="4"/>
  <c r="I227" i="4"/>
  <c r="H227" i="4"/>
  <c r="G227" i="4"/>
  <c r="E227" i="4"/>
  <c r="F227" i="4" s="1"/>
  <c r="J226" i="4"/>
  <c r="I226" i="4"/>
  <c r="E226" i="4"/>
  <c r="J225" i="4"/>
  <c r="I225" i="4"/>
  <c r="H225" i="4"/>
  <c r="G225" i="4"/>
  <c r="E225" i="4"/>
  <c r="F225" i="4" s="1"/>
  <c r="J224" i="4"/>
  <c r="I224" i="4"/>
  <c r="F224" i="4"/>
  <c r="E224" i="4"/>
  <c r="J223" i="4"/>
  <c r="I223" i="4"/>
  <c r="H223" i="4"/>
  <c r="G223" i="4"/>
  <c r="E223" i="4"/>
  <c r="F223" i="4" s="1"/>
  <c r="J222" i="4"/>
  <c r="I222" i="4"/>
  <c r="E222" i="4"/>
  <c r="J221" i="4"/>
  <c r="I221" i="4"/>
  <c r="H221" i="4"/>
  <c r="G221" i="4"/>
  <c r="E221" i="4"/>
  <c r="F221" i="4" s="1"/>
  <c r="J220" i="4"/>
  <c r="I220" i="4"/>
  <c r="E220" i="4"/>
  <c r="J219" i="4"/>
  <c r="I219" i="4"/>
  <c r="H219" i="4"/>
  <c r="G219" i="4"/>
  <c r="E219" i="4"/>
  <c r="F219" i="4" s="1"/>
  <c r="J218" i="4"/>
  <c r="I218" i="4"/>
  <c r="E218" i="4"/>
  <c r="J217" i="4"/>
  <c r="I217" i="4"/>
  <c r="H217" i="4"/>
  <c r="G217" i="4"/>
  <c r="E217" i="4"/>
  <c r="F217" i="4" s="1"/>
  <c r="J216" i="4"/>
  <c r="I216" i="4"/>
  <c r="F216" i="4"/>
  <c r="E216" i="4"/>
  <c r="J215" i="4"/>
  <c r="I215" i="4"/>
  <c r="H215" i="4"/>
  <c r="G215" i="4"/>
  <c r="E215" i="4"/>
  <c r="F215" i="4" s="1"/>
  <c r="J214" i="4"/>
  <c r="I214" i="4"/>
  <c r="E214" i="4"/>
  <c r="J213" i="4"/>
  <c r="I213" i="4"/>
  <c r="H213" i="4"/>
  <c r="G213" i="4"/>
  <c r="E213" i="4"/>
  <c r="F213" i="4" s="1"/>
  <c r="J212" i="4"/>
  <c r="I212" i="4"/>
  <c r="E212" i="4"/>
  <c r="J211" i="4"/>
  <c r="I211" i="4"/>
  <c r="H211" i="4"/>
  <c r="G211" i="4"/>
  <c r="E211" i="4"/>
  <c r="F211" i="4" s="1"/>
  <c r="J210" i="4"/>
  <c r="I210" i="4"/>
  <c r="E210" i="4"/>
  <c r="J209" i="4"/>
  <c r="I209" i="4"/>
  <c r="H209" i="4"/>
  <c r="G209" i="4"/>
  <c r="E209" i="4"/>
  <c r="F209" i="4" s="1"/>
  <c r="J208" i="4"/>
  <c r="I208" i="4"/>
  <c r="F208" i="4"/>
  <c r="E208" i="4"/>
  <c r="J207" i="4"/>
  <c r="I207" i="4"/>
  <c r="E207" i="4"/>
  <c r="H207" i="4" s="1"/>
  <c r="J206" i="4"/>
  <c r="I206" i="4"/>
  <c r="G206" i="4"/>
  <c r="F206" i="4"/>
  <c r="E206" i="4"/>
  <c r="H206" i="4" s="1"/>
  <c r="J205" i="4"/>
  <c r="I205" i="4"/>
  <c r="E205" i="4"/>
  <c r="J204" i="4"/>
  <c r="I204" i="4"/>
  <c r="G204" i="4"/>
  <c r="F204" i="4"/>
  <c r="E204" i="4"/>
  <c r="H204" i="4" s="1"/>
  <c r="J203" i="4"/>
  <c r="I203" i="4"/>
  <c r="H203" i="4"/>
  <c r="E203" i="4"/>
  <c r="J202" i="4"/>
  <c r="I202" i="4"/>
  <c r="G202" i="4"/>
  <c r="F202" i="4"/>
  <c r="E202" i="4"/>
  <c r="H202" i="4" s="1"/>
  <c r="J201" i="4"/>
  <c r="I201" i="4"/>
  <c r="E201" i="4"/>
  <c r="J200" i="4"/>
  <c r="I200" i="4"/>
  <c r="G200" i="4"/>
  <c r="F200" i="4"/>
  <c r="E200" i="4"/>
  <c r="H200" i="4" s="1"/>
  <c r="J199" i="4"/>
  <c r="I199" i="4"/>
  <c r="E199" i="4"/>
  <c r="H199" i="4" s="1"/>
  <c r="J198" i="4"/>
  <c r="I198" i="4"/>
  <c r="G198" i="4"/>
  <c r="F198" i="4"/>
  <c r="E198" i="4"/>
  <c r="H198" i="4" s="1"/>
  <c r="J197" i="4"/>
  <c r="I197" i="4"/>
  <c r="E197" i="4"/>
  <c r="J196" i="4"/>
  <c r="I196" i="4"/>
  <c r="G196" i="4"/>
  <c r="F196" i="4"/>
  <c r="E196" i="4"/>
  <c r="H196" i="4" s="1"/>
  <c r="J195" i="4"/>
  <c r="I195" i="4"/>
  <c r="H195" i="4"/>
  <c r="E195" i="4"/>
  <c r="J194" i="4"/>
  <c r="I194" i="4"/>
  <c r="G194" i="4"/>
  <c r="F194" i="4"/>
  <c r="E194" i="4"/>
  <c r="H194" i="4" s="1"/>
  <c r="J193" i="4"/>
  <c r="I193" i="4"/>
  <c r="E193" i="4"/>
  <c r="J192" i="4"/>
  <c r="I192" i="4"/>
  <c r="G192" i="4"/>
  <c r="F192" i="4"/>
  <c r="E192" i="4"/>
  <c r="H192" i="4" s="1"/>
  <c r="J191" i="4"/>
  <c r="I191" i="4"/>
  <c r="E191" i="4"/>
  <c r="J190" i="4"/>
  <c r="I190" i="4"/>
  <c r="G190" i="4"/>
  <c r="F190" i="4"/>
  <c r="E190" i="4"/>
  <c r="H190" i="4" s="1"/>
  <c r="J189" i="4"/>
  <c r="I189" i="4"/>
  <c r="E189" i="4"/>
  <c r="H189" i="4" s="1"/>
  <c r="J188" i="4"/>
  <c r="I188" i="4"/>
  <c r="G188" i="4"/>
  <c r="F188" i="4"/>
  <c r="E188" i="4"/>
  <c r="H188" i="4" s="1"/>
  <c r="J187" i="4"/>
  <c r="I187" i="4"/>
  <c r="H187" i="4"/>
  <c r="E187" i="4"/>
  <c r="J186" i="4"/>
  <c r="I186" i="4"/>
  <c r="G186" i="4"/>
  <c r="F186" i="4"/>
  <c r="E186" i="4"/>
  <c r="H186" i="4" s="1"/>
  <c r="J185" i="4"/>
  <c r="I185" i="4"/>
  <c r="E185" i="4"/>
  <c r="J184" i="4"/>
  <c r="I184" i="4"/>
  <c r="G184" i="4"/>
  <c r="F184" i="4"/>
  <c r="E184" i="4"/>
  <c r="H184" i="4" s="1"/>
  <c r="J183" i="4"/>
  <c r="I183" i="4"/>
  <c r="E183" i="4"/>
  <c r="J182" i="4"/>
  <c r="I182" i="4"/>
  <c r="G182" i="4"/>
  <c r="F182" i="4"/>
  <c r="E182" i="4"/>
  <c r="H182" i="4" s="1"/>
  <c r="J181" i="4"/>
  <c r="I181" i="4"/>
  <c r="E181" i="4"/>
  <c r="H181" i="4" s="1"/>
  <c r="J180" i="4"/>
  <c r="I180" i="4"/>
  <c r="G180" i="4"/>
  <c r="F180" i="4"/>
  <c r="E180" i="4"/>
  <c r="H180" i="4" s="1"/>
  <c r="J179" i="4"/>
  <c r="I179" i="4"/>
  <c r="H179" i="4"/>
  <c r="E179" i="4"/>
  <c r="J178" i="4"/>
  <c r="I178" i="4"/>
  <c r="G178" i="4"/>
  <c r="F178" i="4"/>
  <c r="E178" i="4"/>
  <c r="H178" i="4" s="1"/>
  <c r="J177" i="4"/>
  <c r="I177" i="4"/>
  <c r="E177" i="4"/>
  <c r="J176" i="4"/>
  <c r="I176" i="4"/>
  <c r="G176" i="4"/>
  <c r="F176" i="4"/>
  <c r="E176" i="4"/>
  <c r="H176" i="4" s="1"/>
  <c r="J175" i="4"/>
  <c r="I175" i="4"/>
  <c r="E175" i="4"/>
  <c r="H175" i="4" s="1"/>
  <c r="J174" i="4"/>
  <c r="I174" i="4"/>
  <c r="G174" i="4"/>
  <c r="F174" i="4"/>
  <c r="E174" i="4"/>
  <c r="H174" i="4" s="1"/>
  <c r="J173" i="4"/>
  <c r="I173" i="4"/>
  <c r="E173" i="4"/>
  <c r="J172" i="4"/>
  <c r="I172" i="4"/>
  <c r="G172" i="4"/>
  <c r="F172" i="4"/>
  <c r="E172" i="4"/>
  <c r="H172" i="4" s="1"/>
  <c r="J171" i="4"/>
  <c r="I171" i="4"/>
  <c r="H171" i="4"/>
  <c r="E171" i="4"/>
  <c r="J170" i="4"/>
  <c r="I170" i="4"/>
  <c r="G170" i="4"/>
  <c r="F170" i="4"/>
  <c r="E170" i="4"/>
  <c r="H170" i="4" s="1"/>
  <c r="J169" i="4"/>
  <c r="I169" i="4"/>
  <c r="E169" i="4"/>
  <c r="J168" i="4"/>
  <c r="I168" i="4"/>
  <c r="G168" i="4"/>
  <c r="F168" i="4"/>
  <c r="E168" i="4"/>
  <c r="H168" i="4" s="1"/>
  <c r="J167" i="4"/>
  <c r="I167" i="4"/>
  <c r="E167" i="4"/>
  <c r="J166" i="4"/>
  <c r="I166" i="4"/>
  <c r="G166" i="4"/>
  <c r="F166" i="4"/>
  <c r="E166" i="4"/>
  <c r="H166" i="4" s="1"/>
  <c r="J165" i="4"/>
  <c r="I165" i="4"/>
  <c r="E165" i="4"/>
  <c r="H165" i="4" s="1"/>
  <c r="J164" i="4"/>
  <c r="I164" i="4"/>
  <c r="G164" i="4"/>
  <c r="F164" i="4"/>
  <c r="E164" i="4"/>
  <c r="H164" i="4" s="1"/>
  <c r="J163" i="4"/>
  <c r="I163" i="4"/>
  <c r="H163" i="4"/>
  <c r="E163" i="4"/>
  <c r="J162" i="4"/>
  <c r="I162" i="4"/>
  <c r="G162" i="4"/>
  <c r="F162" i="4"/>
  <c r="E162" i="4"/>
  <c r="H162" i="4" s="1"/>
  <c r="J161" i="4"/>
  <c r="I161" i="4"/>
  <c r="E161" i="4"/>
  <c r="J160" i="4"/>
  <c r="I160" i="4"/>
  <c r="G160" i="4"/>
  <c r="F160" i="4"/>
  <c r="E160" i="4"/>
  <c r="H160" i="4" s="1"/>
  <c r="J159" i="4"/>
  <c r="I159" i="4"/>
  <c r="E159" i="4"/>
  <c r="J158" i="4"/>
  <c r="I158" i="4"/>
  <c r="G158" i="4"/>
  <c r="F158" i="4"/>
  <c r="E158" i="4"/>
  <c r="H158" i="4" s="1"/>
  <c r="J157" i="4"/>
  <c r="I157" i="4"/>
  <c r="E157" i="4"/>
  <c r="H157" i="4" s="1"/>
  <c r="J156" i="4"/>
  <c r="I156" i="4"/>
  <c r="G156" i="4"/>
  <c r="F156" i="4"/>
  <c r="E156" i="4"/>
  <c r="H156" i="4" s="1"/>
  <c r="J155" i="4"/>
  <c r="I155" i="4"/>
  <c r="H155" i="4"/>
  <c r="E155" i="4"/>
  <c r="J154" i="4"/>
  <c r="I154" i="4"/>
  <c r="G154" i="4"/>
  <c r="F154" i="4"/>
  <c r="E154" i="4"/>
  <c r="H154" i="4" s="1"/>
  <c r="J153" i="4"/>
  <c r="I153" i="4"/>
  <c r="E153" i="4"/>
  <c r="J152" i="4"/>
  <c r="I152" i="4"/>
  <c r="G152" i="4"/>
  <c r="F152" i="4"/>
  <c r="E152" i="4"/>
  <c r="H152" i="4" s="1"/>
  <c r="J151" i="4"/>
  <c r="I151" i="4"/>
  <c r="E151" i="4"/>
  <c r="J150" i="4"/>
  <c r="I150" i="4"/>
  <c r="G150" i="4"/>
  <c r="F150" i="4"/>
  <c r="E150" i="4"/>
  <c r="H150" i="4" s="1"/>
  <c r="J149" i="4"/>
  <c r="I149" i="4"/>
  <c r="E149" i="4"/>
  <c r="H149" i="4" s="1"/>
  <c r="J148" i="4"/>
  <c r="I148" i="4"/>
  <c r="G148" i="4"/>
  <c r="F148" i="4"/>
  <c r="E148" i="4"/>
  <c r="H148" i="4" s="1"/>
  <c r="J147" i="4"/>
  <c r="I147" i="4"/>
  <c r="H147" i="4"/>
  <c r="E147" i="4"/>
  <c r="J146" i="4"/>
  <c r="I146" i="4"/>
  <c r="G146" i="4"/>
  <c r="F146" i="4"/>
  <c r="E146" i="4"/>
  <c r="H146" i="4" s="1"/>
  <c r="J145" i="4"/>
  <c r="I145" i="4"/>
  <c r="E145" i="4"/>
  <c r="J144" i="4"/>
  <c r="I144" i="4"/>
  <c r="G144" i="4"/>
  <c r="F144" i="4"/>
  <c r="E144" i="4"/>
  <c r="H144" i="4" s="1"/>
  <c r="J143" i="4"/>
  <c r="I143" i="4"/>
  <c r="E143" i="4"/>
  <c r="H143" i="4" s="1"/>
  <c r="J142" i="4"/>
  <c r="I142" i="4"/>
  <c r="G142" i="4"/>
  <c r="F142" i="4"/>
  <c r="E142" i="4"/>
  <c r="H142" i="4" s="1"/>
  <c r="J141" i="4"/>
  <c r="I141" i="4"/>
  <c r="E141" i="4"/>
  <c r="J140" i="4"/>
  <c r="I140" i="4"/>
  <c r="G140" i="4"/>
  <c r="F140" i="4"/>
  <c r="E140" i="4"/>
  <c r="H140" i="4" s="1"/>
  <c r="J139" i="4"/>
  <c r="I139" i="4"/>
  <c r="H139" i="4"/>
  <c r="E139" i="4"/>
  <c r="F139" i="4" s="1"/>
  <c r="J138" i="4"/>
  <c r="I138" i="4"/>
  <c r="E138" i="4"/>
  <c r="H138" i="4" s="1"/>
  <c r="J137" i="4"/>
  <c r="I137" i="4"/>
  <c r="H137" i="4"/>
  <c r="G137" i="4"/>
  <c r="F137" i="4"/>
  <c r="E137" i="4"/>
  <c r="J136" i="4"/>
  <c r="I136" i="4"/>
  <c r="H136" i="4"/>
  <c r="E136" i="4"/>
  <c r="G136" i="4" s="1"/>
  <c r="J135" i="4"/>
  <c r="I135" i="4"/>
  <c r="H135" i="4"/>
  <c r="G135" i="4"/>
  <c r="F135" i="4"/>
  <c r="E135" i="4"/>
  <c r="J134" i="4"/>
  <c r="I134" i="4"/>
  <c r="H134" i="4"/>
  <c r="E134" i="4"/>
  <c r="G134" i="4" s="1"/>
  <c r="J133" i="4"/>
  <c r="I133" i="4"/>
  <c r="H133" i="4"/>
  <c r="G133" i="4"/>
  <c r="F133" i="4"/>
  <c r="E133" i="4"/>
  <c r="J132" i="4"/>
  <c r="I132" i="4"/>
  <c r="H132" i="4"/>
  <c r="E132" i="4"/>
  <c r="G132" i="4" s="1"/>
  <c r="J131" i="4"/>
  <c r="I131" i="4"/>
  <c r="H131" i="4"/>
  <c r="G131" i="4"/>
  <c r="F131" i="4"/>
  <c r="E131" i="4"/>
  <c r="J130" i="4"/>
  <c r="I130" i="4"/>
  <c r="H130" i="4"/>
  <c r="E130" i="4"/>
  <c r="G130" i="4" s="1"/>
  <c r="J129" i="4"/>
  <c r="I129" i="4"/>
  <c r="H129" i="4"/>
  <c r="G129" i="4"/>
  <c r="F129" i="4"/>
  <c r="E129" i="4"/>
  <c r="J128" i="4"/>
  <c r="I128" i="4"/>
  <c r="H128" i="4"/>
  <c r="E128" i="4"/>
  <c r="G128" i="4" s="1"/>
  <c r="J127" i="4"/>
  <c r="I127" i="4"/>
  <c r="H127" i="4"/>
  <c r="G127" i="4"/>
  <c r="F127" i="4"/>
  <c r="E127" i="4"/>
  <c r="J126" i="4"/>
  <c r="I126" i="4"/>
  <c r="H126" i="4"/>
  <c r="E126" i="4"/>
  <c r="G126" i="4" s="1"/>
  <c r="J125" i="4"/>
  <c r="I125" i="4"/>
  <c r="H125" i="4"/>
  <c r="G125" i="4"/>
  <c r="F125" i="4"/>
  <c r="E125" i="4"/>
  <c r="J124" i="4"/>
  <c r="I124" i="4"/>
  <c r="H124" i="4"/>
  <c r="E124" i="4"/>
  <c r="G124" i="4" s="1"/>
  <c r="J123" i="4"/>
  <c r="I123" i="4"/>
  <c r="H123" i="4"/>
  <c r="G123" i="4"/>
  <c r="F123" i="4"/>
  <c r="E123" i="4"/>
  <c r="J122" i="4"/>
  <c r="I122" i="4"/>
  <c r="H122" i="4"/>
  <c r="E122" i="4"/>
  <c r="G122" i="4" s="1"/>
  <c r="J121" i="4"/>
  <c r="I121" i="4"/>
  <c r="H121" i="4"/>
  <c r="G121" i="4"/>
  <c r="F121" i="4"/>
  <c r="E121" i="4"/>
  <c r="J120" i="4"/>
  <c r="I120" i="4"/>
  <c r="H120" i="4"/>
  <c r="E120" i="4"/>
  <c r="F120" i="4" s="1"/>
  <c r="J119" i="4"/>
  <c r="I119" i="4"/>
  <c r="H119" i="4"/>
  <c r="G119" i="4"/>
  <c r="F119" i="4"/>
  <c r="E119" i="4"/>
  <c r="J118" i="4"/>
  <c r="I118" i="4"/>
  <c r="H118" i="4"/>
  <c r="E118" i="4"/>
  <c r="G118" i="4" s="1"/>
  <c r="J117" i="4"/>
  <c r="I117" i="4"/>
  <c r="H117" i="4"/>
  <c r="G117" i="4"/>
  <c r="F117" i="4"/>
  <c r="E117" i="4"/>
  <c r="J116" i="4"/>
  <c r="I116" i="4"/>
  <c r="H116" i="4"/>
  <c r="E116" i="4"/>
  <c r="G116" i="4" s="1"/>
  <c r="J115" i="4"/>
  <c r="I115" i="4"/>
  <c r="H115" i="4"/>
  <c r="G115" i="4"/>
  <c r="F115" i="4"/>
  <c r="E115" i="4"/>
  <c r="J114" i="4"/>
  <c r="I114" i="4"/>
  <c r="H114" i="4"/>
  <c r="E114" i="4"/>
  <c r="G114" i="4" s="1"/>
  <c r="J113" i="4"/>
  <c r="I113" i="4"/>
  <c r="H113" i="4"/>
  <c r="G113" i="4"/>
  <c r="F113" i="4"/>
  <c r="E113" i="4"/>
  <c r="J112" i="4"/>
  <c r="I112" i="4"/>
  <c r="H112" i="4"/>
  <c r="E112" i="4"/>
  <c r="G112" i="4" s="1"/>
  <c r="J111" i="4"/>
  <c r="I111" i="4"/>
  <c r="H111" i="4"/>
  <c r="G111" i="4"/>
  <c r="F111" i="4"/>
  <c r="E111" i="4"/>
  <c r="J110" i="4"/>
  <c r="I110" i="4"/>
  <c r="H110" i="4"/>
  <c r="E110" i="4"/>
  <c r="G110" i="4" s="1"/>
  <c r="J109" i="4"/>
  <c r="I109" i="4"/>
  <c r="H109" i="4"/>
  <c r="G109" i="4"/>
  <c r="F109" i="4"/>
  <c r="E109" i="4"/>
  <c r="J108" i="4"/>
  <c r="I108" i="4"/>
  <c r="H108" i="4"/>
  <c r="E108" i="4"/>
  <c r="G108" i="4" s="1"/>
  <c r="J107" i="4"/>
  <c r="I107" i="4"/>
  <c r="H107" i="4"/>
  <c r="G107" i="4"/>
  <c r="F107" i="4"/>
  <c r="E107" i="4"/>
  <c r="J106" i="4"/>
  <c r="I106" i="4"/>
  <c r="H106" i="4"/>
  <c r="E106" i="4"/>
  <c r="G106" i="4" s="1"/>
  <c r="J105" i="4"/>
  <c r="I105" i="4"/>
  <c r="H105" i="4"/>
  <c r="G105" i="4"/>
  <c r="F105" i="4"/>
  <c r="E105" i="4"/>
  <c r="J104" i="4"/>
  <c r="I104" i="4"/>
  <c r="H104" i="4"/>
  <c r="E104" i="4"/>
  <c r="G104" i="4" s="1"/>
  <c r="J103" i="4"/>
  <c r="I103" i="4"/>
  <c r="H103" i="4"/>
  <c r="G103" i="4"/>
  <c r="F103" i="4"/>
  <c r="E103" i="4"/>
  <c r="J102" i="4"/>
  <c r="I102" i="4"/>
  <c r="H102" i="4"/>
  <c r="E102" i="4"/>
  <c r="G102" i="4" s="1"/>
  <c r="J101" i="4"/>
  <c r="I101" i="4"/>
  <c r="H101" i="4"/>
  <c r="G101" i="4"/>
  <c r="F101" i="4"/>
  <c r="E101" i="4"/>
  <c r="J100" i="4"/>
  <c r="I100" i="4"/>
  <c r="H100" i="4"/>
  <c r="E100" i="4"/>
  <c r="G100" i="4" s="1"/>
  <c r="J99" i="4"/>
  <c r="I99" i="4"/>
  <c r="H99" i="4"/>
  <c r="G99" i="4"/>
  <c r="F99" i="4"/>
  <c r="E99" i="4"/>
  <c r="J98" i="4"/>
  <c r="I98" i="4"/>
  <c r="H98" i="4"/>
  <c r="E98" i="4"/>
  <c r="G98" i="4" s="1"/>
  <c r="J97" i="4"/>
  <c r="I97" i="4"/>
  <c r="H97" i="4"/>
  <c r="G97" i="4"/>
  <c r="F97" i="4"/>
  <c r="E97" i="4"/>
  <c r="J96" i="4"/>
  <c r="I96" i="4"/>
  <c r="H96" i="4"/>
  <c r="E96" i="4"/>
  <c r="G96" i="4" s="1"/>
  <c r="J95" i="4"/>
  <c r="I95" i="4"/>
  <c r="H95" i="4"/>
  <c r="G95" i="4"/>
  <c r="F95" i="4"/>
  <c r="E95" i="4"/>
  <c r="J94" i="4"/>
  <c r="I94" i="4"/>
  <c r="H94" i="4"/>
  <c r="E94" i="4"/>
  <c r="G94" i="4" s="1"/>
  <c r="J93" i="4"/>
  <c r="I93" i="4"/>
  <c r="H93" i="4"/>
  <c r="G93" i="4"/>
  <c r="F93" i="4"/>
  <c r="E93" i="4"/>
  <c r="J92" i="4"/>
  <c r="I92" i="4"/>
  <c r="H92" i="4"/>
  <c r="E92" i="4"/>
  <c r="G92" i="4" s="1"/>
  <c r="J91" i="4"/>
  <c r="I91" i="4"/>
  <c r="H91" i="4"/>
  <c r="G91" i="4"/>
  <c r="F91" i="4"/>
  <c r="E91" i="4"/>
  <c r="J90" i="4"/>
  <c r="I90" i="4"/>
  <c r="H90" i="4"/>
  <c r="E90" i="4"/>
  <c r="G90" i="4" s="1"/>
  <c r="J89" i="4"/>
  <c r="I89" i="4"/>
  <c r="H89" i="4"/>
  <c r="G89" i="4"/>
  <c r="F89" i="4"/>
  <c r="E89" i="4"/>
  <c r="J88" i="4"/>
  <c r="I88" i="4"/>
  <c r="H88" i="4"/>
  <c r="E88" i="4"/>
  <c r="G88" i="4" s="1"/>
  <c r="J87" i="4"/>
  <c r="I87" i="4"/>
  <c r="H87" i="4"/>
  <c r="G87" i="4"/>
  <c r="F87" i="4"/>
  <c r="E87" i="4"/>
  <c r="J86" i="4"/>
  <c r="I86" i="4"/>
  <c r="H86" i="4"/>
  <c r="E86" i="4"/>
  <c r="G86" i="4" s="1"/>
  <c r="J85" i="4"/>
  <c r="I85" i="4"/>
  <c r="H85" i="4"/>
  <c r="G85" i="4"/>
  <c r="F85" i="4"/>
  <c r="E85" i="4"/>
  <c r="J84" i="4"/>
  <c r="I84" i="4"/>
  <c r="H84" i="4"/>
  <c r="E84" i="4"/>
  <c r="G84" i="4" s="1"/>
  <c r="J83" i="4"/>
  <c r="I83" i="4"/>
  <c r="H83" i="4"/>
  <c r="G83" i="4"/>
  <c r="F83" i="4"/>
  <c r="E83" i="4"/>
  <c r="J82" i="4"/>
  <c r="I82" i="4"/>
  <c r="H82" i="4"/>
  <c r="E82" i="4"/>
  <c r="G82" i="4" s="1"/>
  <c r="J81" i="4"/>
  <c r="I81" i="4"/>
  <c r="H81" i="4"/>
  <c r="G81" i="4"/>
  <c r="F81" i="4"/>
  <c r="E81" i="4"/>
  <c r="J80" i="4"/>
  <c r="I80" i="4"/>
  <c r="H80" i="4"/>
  <c r="E80" i="4"/>
  <c r="G80" i="4" s="1"/>
  <c r="J79" i="4"/>
  <c r="I79" i="4"/>
  <c r="H79" i="4"/>
  <c r="G79" i="4"/>
  <c r="F79" i="4"/>
  <c r="E79" i="4"/>
  <c r="J78" i="4"/>
  <c r="I78" i="4"/>
  <c r="H78" i="4"/>
  <c r="E78" i="4"/>
  <c r="G78" i="4" s="1"/>
  <c r="J77" i="4"/>
  <c r="I77" i="4"/>
  <c r="H77" i="4"/>
  <c r="G77" i="4"/>
  <c r="F77" i="4"/>
  <c r="E77" i="4"/>
  <c r="J76" i="4"/>
  <c r="I76" i="4"/>
  <c r="H76" i="4"/>
  <c r="E76" i="4"/>
  <c r="G76" i="4" s="1"/>
  <c r="J75" i="4"/>
  <c r="I75" i="4"/>
  <c r="H75" i="4"/>
  <c r="G75" i="4"/>
  <c r="F75" i="4"/>
  <c r="E75" i="4"/>
  <c r="J74" i="4"/>
  <c r="I74" i="4"/>
  <c r="H74" i="4"/>
  <c r="E74" i="4"/>
  <c r="F74" i="4" s="1"/>
  <c r="J73" i="4"/>
  <c r="I73" i="4"/>
  <c r="H73" i="4"/>
  <c r="G73" i="4"/>
  <c r="F73" i="4"/>
  <c r="E73" i="4"/>
  <c r="J72" i="4"/>
  <c r="I72" i="4"/>
  <c r="H72" i="4"/>
  <c r="E72" i="4"/>
  <c r="G72" i="4" s="1"/>
  <c r="J71" i="4"/>
  <c r="I71" i="4"/>
  <c r="H71" i="4"/>
  <c r="G71" i="4"/>
  <c r="F71" i="4"/>
  <c r="E71" i="4"/>
  <c r="J70" i="4"/>
  <c r="I70" i="4"/>
  <c r="H70" i="4"/>
  <c r="E70" i="4"/>
  <c r="G70" i="4" s="1"/>
  <c r="J69" i="4"/>
  <c r="I69" i="4"/>
  <c r="H69" i="4"/>
  <c r="G69" i="4"/>
  <c r="F69" i="4"/>
  <c r="E69" i="4"/>
  <c r="J68" i="4"/>
  <c r="I68" i="4"/>
  <c r="H68" i="4"/>
  <c r="E68" i="4"/>
  <c r="G68" i="4" s="1"/>
  <c r="J67" i="4"/>
  <c r="I67" i="4"/>
  <c r="H67" i="4"/>
  <c r="G67" i="4"/>
  <c r="F67" i="4"/>
  <c r="E67" i="4"/>
  <c r="J66" i="4"/>
  <c r="I66" i="4"/>
  <c r="H66" i="4"/>
  <c r="E66" i="4"/>
  <c r="G66" i="4" s="1"/>
  <c r="J65" i="4"/>
  <c r="I65" i="4"/>
  <c r="H65" i="4"/>
  <c r="G65" i="4"/>
  <c r="F65" i="4"/>
  <c r="E65" i="4"/>
  <c r="J64" i="4"/>
  <c r="I64" i="4"/>
  <c r="H64" i="4"/>
  <c r="E64" i="4"/>
  <c r="G64" i="4" s="1"/>
  <c r="J63" i="4"/>
  <c r="I63" i="4"/>
  <c r="H63" i="4"/>
  <c r="G63" i="4"/>
  <c r="F63" i="4"/>
  <c r="E63" i="4"/>
  <c r="J62" i="4"/>
  <c r="I62" i="4"/>
  <c r="H62" i="4"/>
  <c r="E62" i="4"/>
  <c r="G62" i="4" s="1"/>
  <c r="J61" i="4"/>
  <c r="I61" i="4"/>
  <c r="H61" i="4"/>
  <c r="G61" i="4"/>
  <c r="F61" i="4"/>
  <c r="E61" i="4"/>
  <c r="J60" i="4"/>
  <c r="I60" i="4"/>
  <c r="H60" i="4"/>
  <c r="E60" i="4"/>
  <c r="G60" i="4" s="1"/>
  <c r="J59" i="4"/>
  <c r="I59" i="4"/>
  <c r="H59" i="4"/>
  <c r="G59" i="4"/>
  <c r="F59" i="4"/>
  <c r="E59" i="4"/>
  <c r="J58" i="4"/>
  <c r="I58" i="4"/>
  <c r="H58" i="4"/>
  <c r="E58" i="4"/>
  <c r="G58" i="4" s="1"/>
  <c r="J57" i="4"/>
  <c r="I57" i="4"/>
  <c r="H57" i="4"/>
  <c r="G57" i="4"/>
  <c r="F57" i="4"/>
  <c r="E57" i="4"/>
  <c r="J56" i="4"/>
  <c r="I56" i="4"/>
  <c r="H56" i="4"/>
  <c r="E56" i="4"/>
  <c r="G56" i="4" s="1"/>
  <c r="J55" i="4"/>
  <c r="I55" i="4"/>
  <c r="H55" i="4"/>
  <c r="G55" i="4"/>
  <c r="F55" i="4"/>
  <c r="E55" i="4"/>
  <c r="J54" i="4"/>
  <c r="I54" i="4"/>
  <c r="H54" i="4"/>
  <c r="E54" i="4"/>
  <c r="G54" i="4" s="1"/>
  <c r="J53" i="4"/>
  <c r="I53" i="4"/>
  <c r="H53" i="4"/>
  <c r="G53" i="4"/>
  <c r="F53" i="4"/>
  <c r="E53" i="4"/>
  <c r="J52" i="4"/>
  <c r="I52" i="4"/>
  <c r="H52" i="4"/>
  <c r="E52" i="4"/>
  <c r="G52" i="4" s="1"/>
  <c r="J51" i="4"/>
  <c r="I51" i="4"/>
  <c r="H51" i="4"/>
  <c r="G51" i="4"/>
  <c r="F51" i="4"/>
  <c r="E51" i="4"/>
  <c r="J50" i="4"/>
  <c r="I50" i="4"/>
  <c r="H50" i="4"/>
  <c r="E50" i="4"/>
  <c r="G50" i="4" s="1"/>
  <c r="J49" i="4"/>
  <c r="I49" i="4"/>
  <c r="H49" i="4"/>
  <c r="G49" i="4"/>
  <c r="F49" i="4"/>
  <c r="E49" i="4"/>
  <c r="J48" i="4"/>
  <c r="I48" i="4"/>
  <c r="H48" i="4"/>
  <c r="E48" i="4"/>
  <c r="G48" i="4" s="1"/>
  <c r="J47" i="4"/>
  <c r="I47" i="4"/>
  <c r="H47" i="4"/>
  <c r="G47" i="4"/>
  <c r="F47" i="4"/>
  <c r="E47" i="4"/>
  <c r="J46" i="4"/>
  <c r="I46" i="4"/>
  <c r="H46" i="4"/>
  <c r="E46" i="4"/>
  <c r="G46" i="4" s="1"/>
  <c r="J45" i="4"/>
  <c r="I45" i="4"/>
  <c r="H45" i="4"/>
  <c r="G45" i="4"/>
  <c r="F45" i="4"/>
  <c r="E45" i="4"/>
  <c r="J44" i="4"/>
  <c r="I44" i="4"/>
  <c r="H44" i="4"/>
  <c r="E44" i="4"/>
  <c r="G44" i="4" s="1"/>
  <c r="J43" i="4"/>
  <c r="I43" i="4"/>
  <c r="H43" i="4"/>
  <c r="G43" i="4"/>
  <c r="F43" i="4"/>
  <c r="E43" i="4"/>
  <c r="J42" i="4"/>
  <c r="I42" i="4"/>
  <c r="H42" i="4"/>
  <c r="E42" i="4"/>
  <c r="G42" i="4" s="1"/>
  <c r="J41" i="4"/>
  <c r="I41" i="4"/>
  <c r="H41" i="4"/>
  <c r="G41" i="4"/>
  <c r="F41" i="4"/>
  <c r="E41" i="4"/>
  <c r="J40" i="4"/>
  <c r="I40" i="4"/>
  <c r="H40" i="4"/>
  <c r="E40" i="4"/>
  <c r="G40" i="4" s="1"/>
  <c r="J39" i="4"/>
  <c r="I39" i="4"/>
  <c r="H39" i="4"/>
  <c r="G39" i="4"/>
  <c r="F39" i="4"/>
  <c r="E39" i="4"/>
  <c r="J38" i="4"/>
  <c r="I38" i="4"/>
  <c r="H38" i="4"/>
  <c r="E38" i="4"/>
  <c r="G38" i="4" s="1"/>
  <c r="J37" i="4"/>
  <c r="I37" i="4"/>
  <c r="H37" i="4"/>
  <c r="G37" i="4"/>
  <c r="F37" i="4"/>
  <c r="E37" i="4"/>
  <c r="J36" i="4"/>
  <c r="I36" i="4"/>
  <c r="H36" i="4"/>
  <c r="E36" i="4"/>
  <c r="G36" i="4" s="1"/>
  <c r="J35" i="4"/>
  <c r="I35" i="4"/>
  <c r="H35" i="4"/>
  <c r="G35" i="4"/>
  <c r="F35" i="4"/>
  <c r="E35" i="4"/>
  <c r="J34" i="4"/>
  <c r="I34" i="4"/>
  <c r="H34" i="4"/>
  <c r="E34" i="4"/>
  <c r="G34" i="4" s="1"/>
  <c r="J33" i="4"/>
  <c r="I33" i="4"/>
  <c r="H33" i="4"/>
  <c r="G33" i="4"/>
  <c r="F33" i="4"/>
  <c r="E33" i="4"/>
  <c r="J32" i="4"/>
  <c r="I32" i="4"/>
  <c r="H32" i="4"/>
  <c r="E32" i="4"/>
  <c r="G32" i="4" s="1"/>
  <c r="J31" i="4"/>
  <c r="I31" i="4"/>
  <c r="H31" i="4"/>
  <c r="G31" i="4"/>
  <c r="F31" i="4"/>
  <c r="E31" i="4"/>
  <c r="J30" i="4"/>
  <c r="I30" i="4"/>
  <c r="H30" i="4"/>
  <c r="E30" i="4"/>
  <c r="G30" i="4" s="1"/>
  <c r="J29" i="4"/>
  <c r="I29" i="4"/>
  <c r="H29" i="4"/>
  <c r="G29" i="4"/>
  <c r="F29" i="4"/>
  <c r="E29" i="4"/>
  <c r="J28" i="4"/>
  <c r="I28" i="4"/>
  <c r="H28" i="4"/>
  <c r="E28" i="4"/>
  <c r="J27" i="4"/>
  <c r="I27" i="4"/>
  <c r="H27" i="4"/>
  <c r="G27" i="4"/>
  <c r="F27" i="4"/>
  <c r="E27" i="4"/>
  <c r="J26" i="4"/>
  <c r="I26" i="4"/>
  <c r="H26" i="4"/>
  <c r="E26" i="4"/>
  <c r="G26" i="4" s="1"/>
  <c r="J25" i="4"/>
  <c r="I25" i="4"/>
  <c r="H25" i="4"/>
  <c r="G25" i="4"/>
  <c r="F25" i="4"/>
  <c r="E25" i="4"/>
  <c r="J24" i="4"/>
  <c r="I24" i="4"/>
  <c r="H24" i="4"/>
  <c r="E24" i="4"/>
  <c r="G24" i="4" s="1"/>
  <c r="J23" i="4"/>
  <c r="I23" i="4"/>
  <c r="H23" i="4"/>
  <c r="G23" i="4"/>
  <c r="F23" i="4"/>
  <c r="E23" i="4"/>
  <c r="J22" i="4"/>
  <c r="I22" i="4"/>
  <c r="H22" i="4"/>
  <c r="E22" i="4"/>
  <c r="G22" i="4" s="1"/>
  <c r="J21" i="4"/>
  <c r="I21" i="4"/>
  <c r="H21" i="4"/>
  <c r="G21" i="4"/>
  <c r="F21" i="4"/>
  <c r="E21" i="4"/>
  <c r="J20" i="4"/>
  <c r="I20" i="4"/>
  <c r="H20" i="4"/>
  <c r="E20" i="4"/>
  <c r="G20" i="4" s="1"/>
  <c r="J19" i="4"/>
  <c r="I19" i="4"/>
  <c r="H19" i="4"/>
  <c r="G19" i="4"/>
  <c r="F19" i="4"/>
  <c r="E19" i="4"/>
  <c r="J18" i="4"/>
  <c r="I18" i="4"/>
  <c r="H18" i="4"/>
  <c r="E18" i="4"/>
  <c r="G18" i="4" s="1"/>
  <c r="J17" i="4"/>
  <c r="I17" i="4"/>
  <c r="H17" i="4"/>
  <c r="G17" i="4"/>
  <c r="F17" i="4"/>
  <c r="E17" i="4"/>
  <c r="J16" i="4"/>
  <c r="I16" i="4"/>
  <c r="H16" i="4"/>
  <c r="E16" i="4"/>
  <c r="G16" i="4" s="1"/>
  <c r="J15" i="4"/>
  <c r="I15" i="4"/>
  <c r="H15" i="4"/>
  <c r="G15" i="4"/>
  <c r="F15" i="4"/>
  <c r="E15" i="4"/>
  <c r="J14" i="4"/>
  <c r="I14" i="4"/>
  <c r="H14" i="4"/>
  <c r="E14" i="4"/>
  <c r="G14" i="4" s="1"/>
  <c r="J13" i="4"/>
  <c r="I13" i="4"/>
  <c r="H13" i="4"/>
  <c r="G13" i="4"/>
  <c r="F13" i="4"/>
  <c r="E13" i="4"/>
  <c r="J12" i="4"/>
  <c r="I12" i="4"/>
  <c r="H12" i="4"/>
  <c r="E12" i="4"/>
  <c r="G12" i="4" s="1"/>
  <c r="J11" i="4"/>
  <c r="I11" i="4"/>
  <c r="H11" i="4"/>
  <c r="G11" i="4"/>
  <c r="F11" i="4"/>
  <c r="E11" i="4"/>
  <c r="J10" i="4"/>
  <c r="I10" i="4"/>
  <c r="H10" i="4"/>
  <c r="E10" i="4"/>
  <c r="G10" i="4" s="1"/>
  <c r="J9" i="4"/>
  <c r="I9" i="4"/>
  <c r="H9" i="4"/>
  <c r="G9" i="4"/>
  <c r="F9" i="4"/>
  <c r="E9" i="4"/>
  <c r="J8" i="4"/>
  <c r="I8" i="4"/>
  <c r="H8" i="4"/>
  <c r="E8" i="4"/>
  <c r="G8" i="4" s="1"/>
  <c r="J7" i="4"/>
  <c r="I7" i="4"/>
  <c r="H7" i="4"/>
  <c r="G7" i="4"/>
  <c r="F7" i="4"/>
  <c r="E7" i="4"/>
  <c r="J6" i="4"/>
  <c r="I6" i="4"/>
  <c r="H6" i="4"/>
  <c r="E6" i="4"/>
  <c r="G6" i="4" s="1"/>
  <c r="J5" i="4"/>
  <c r="I5" i="4"/>
  <c r="H5" i="4"/>
  <c r="G5" i="4"/>
  <c r="F5" i="4"/>
  <c r="E5" i="4"/>
  <c r="G395" i="3"/>
  <c r="F395" i="3"/>
  <c r="G394" i="3"/>
  <c r="F394" i="3"/>
  <c r="G393" i="3"/>
  <c r="F393" i="3"/>
  <c r="G392" i="3"/>
  <c r="F392" i="3"/>
  <c r="G391" i="3"/>
  <c r="F391" i="3"/>
  <c r="G390" i="3"/>
  <c r="F390" i="3"/>
  <c r="G389" i="3"/>
  <c r="F389" i="3"/>
  <c r="G388" i="3"/>
  <c r="F388" i="3"/>
  <c r="G387" i="3"/>
  <c r="F387" i="3"/>
  <c r="G386" i="3"/>
  <c r="F386" i="3"/>
  <c r="G385" i="3"/>
  <c r="F385" i="3"/>
  <c r="G384" i="3"/>
  <c r="F384" i="3"/>
  <c r="G383" i="3"/>
  <c r="F383" i="3"/>
  <c r="G382" i="3"/>
  <c r="F382" i="3"/>
  <c r="G381" i="3"/>
  <c r="F381" i="3"/>
  <c r="G380" i="3"/>
  <c r="F380" i="3"/>
  <c r="G379" i="3"/>
  <c r="F379" i="3"/>
  <c r="G378" i="3"/>
  <c r="F378" i="3"/>
  <c r="G377" i="3"/>
  <c r="F377" i="3"/>
  <c r="G376" i="3"/>
  <c r="F376" i="3"/>
  <c r="G375" i="3"/>
  <c r="F375" i="3"/>
  <c r="G374" i="3"/>
  <c r="F374" i="3"/>
  <c r="G373" i="3"/>
  <c r="F373" i="3"/>
  <c r="G372" i="3"/>
  <c r="F372" i="3"/>
  <c r="G371" i="3"/>
  <c r="F371" i="3"/>
  <c r="G370" i="3"/>
  <c r="F370" i="3"/>
  <c r="G369" i="3"/>
  <c r="F369" i="3"/>
  <c r="G368" i="3"/>
  <c r="F368" i="3"/>
  <c r="G367" i="3"/>
  <c r="F367" i="3"/>
  <c r="G366" i="3"/>
  <c r="F366" i="3"/>
  <c r="G365" i="3"/>
  <c r="F365" i="3"/>
  <c r="G364" i="3"/>
  <c r="F364" i="3"/>
  <c r="G363" i="3"/>
  <c r="F363" i="3"/>
  <c r="G362" i="3"/>
  <c r="F362" i="3"/>
  <c r="G361" i="3"/>
  <c r="F361" i="3"/>
  <c r="G360" i="3"/>
  <c r="F360" i="3"/>
  <c r="G359" i="3"/>
  <c r="F359" i="3"/>
  <c r="G358" i="3"/>
  <c r="F358" i="3"/>
  <c r="G357" i="3"/>
  <c r="F357" i="3"/>
  <c r="G356" i="3"/>
  <c r="F356" i="3"/>
  <c r="G355" i="3"/>
  <c r="F355" i="3"/>
  <c r="G354" i="3"/>
  <c r="F354" i="3"/>
  <c r="G353" i="3"/>
  <c r="F353" i="3"/>
  <c r="G352" i="3"/>
  <c r="F352" i="3"/>
  <c r="G351" i="3"/>
  <c r="F351" i="3"/>
  <c r="G350" i="3"/>
  <c r="F350" i="3"/>
  <c r="G349" i="3"/>
  <c r="F349" i="3"/>
  <c r="G348" i="3"/>
  <c r="F348" i="3"/>
  <c r="G347" i="3"/>
  <c r="F347" i="3"/>
  <c r="G346" i="3"/>
  <c r="F346" i="3"/>
  <c r="G345" i="3"/>
  <c r="F345" i="3"/>
  <c r="G344" i="3"/>
  <c r="F344" i="3"/>
  <c r="G343" i="3"/>
  <c r="F343" i="3"/>
  <c r="G342" i="3"/>
  <c r="F342" i="3"/>
  <c r="G341" i="3"/>
  <c r="F341" i="3"/>
  <c r="G340" i="3"/>
  <c r="F340" i="3"/>
  <c r="G339" i="3"/>
  <c r="F339" i="3"/>
  <c r="G338" i="3"/>
  <c r="F338" i="3"/>
  <c r="G337" i="3"/>
  <c r="F337" i="3"/>
  <c r="G336" i="3"/>
  <c r="F336" i="3"/>
  <c r="G335" i="3"/>
  <c r="F335" i="3"/>
  <c r="G334" i="3"/>
  <c r="F334" i="3"/>
  <c r="G333" i="3"/>
  <c r="F333" i="3"/>
  <c r="G332" i="3"/>
  <c r="F332" i="3"/>
  <c r="G331" i="3"/>
  <c r="F331" i="3"/>
  <c r="G330" i="3"/>
  <c r="F330" i="3"/>
  <c r="G329" i="3"/>
  <c r="F329" i="3"/>
  <c r="G328" i="3"/>
  <c r="F328" i="3"/>
  <c r="G327" i="3"/>
  <c r="F327" i="3"/>
  <c r="G326" i="3"/>
  <c r="F326" i="3"/>
  <c r="G325" i="3"/>
  <c r="F325" i="3"/>
  <c r="G324" i="3"/>
  <c r="F324" i="3"/>
  <c r="G323" i="3"/>
  <c r="F323" i="3"/>
  <c r="G322" i="3"/>
  <c r="F322" i="3"/>
  <c r="G321" i="3"/>
  <c r="F321" i="3"/>
  <c r="G320" i="3"/>
  <c r="F320" i="3"/>
  <c r="G319" i="3"/>
  <c r="F319" i="3"/>
  <c r="G318" i="3"/>
  <c r="F318" i="3"/>
  <c r="G317" i="3"/>
  <c r="F317" i="3"/>
  <c r="G316" i="3"/>
  <c r="F316" i="3"/>
  <c r="G315" i="3"/>
  <c r="F315" i="3"/>
  <c r="G314" i="3"/>
  <c r="F314" i="3"/>
  <c r="G313" i="3"/>
  <c r="F313" i="3"/>
  <c r="G312" i="3"/>
  <c r="F312" i="3"/>
  <c r="G311" i="3"/>
  <c r="F311" i="3"/>
  <c r="G310" i="3"/>
  <c r="F310" i="3"/>
  <c r="G309" i="3"/>
  <c r="F309" i="3"/>
  <c r="G308" i="3"/>
  <c r="F308" i="3"/>
  <c r="G307" i="3"/>
  <c r="F307" i="3"/>
  <c r="G306" i="3"/>
  <c r="F306" i="3"/>
  <c r="G305" i="3"/>
  <c r="F305" i="3"/>
  <c r="G304" i="3"/>
  <c r="F304" i="3"/>
  <c r="G303" i="3"/>
  <c r="F303" i="3"/>
  <c r="G302" i="3"/>
  <c r="F302" i="3"/>
  <c r="G301" i="3"/>
  <c r="F301" i="3"/>
  <c r="G300" i="3"/>
  <c r="F300" i="3"/>
  <c r="G299" i="3"/>
  <c r="F299" i="3"/>
  <c r="G298" i="3"/>
  <c r="F298" i="3"/>
  <c r="G297" i="3"/>
  <c r="F297" i="3"/>
  <c r="G296" i="3"/>
  <c r="F296" i="3"/>
  <c r="G295" i="3"/>
  <c r="F295" i="3"/>
  <c r="G294" i="3"/>
  <c r="F294" i="3"/>
  <c r="G293" i="3"/>
  <c r="F293" i="3"/>
  <c r="G292" i="3"/>
  <c r="F292" i="3"/>
  <c r="G291" i="3"/>
  <c r="F291" i="3"/>
  <c r="G290" i="3"/>
  <c r="F290" i="3"/>
  <c r="G289" i="3"/>
  <c r="F289" i="3"/>
  <c r="G288" i="3"/>
  <c r="F288" i="3"/>
  <c r="G287" i="3"/>
  <c r="F287" i="3"/>
  <c r="G286" i="3"/>
  <c r="F286" i="3"/>
  <c r="G285" i="3"/>
  <c r="F285" i="3"/>
  <c r="G284" i="3"/>
  <c r="F284" i="3"/>
  <c r="G283" i="3"/>
  <c r="F283" i="3"/>
  <c r="G282" i="3"/>
  <c r="F282" i="3"/>
  <c r="G281" i="3"/>
  <c r="F281" i="3"/>
  <c r="G280" i="3"/>
  <c r="F280" i="3"/>
  <c r="G279" i="3"/>
  <c r="F279" i="3"/>
  <c r="G278" i="3"/>
  <c r="F278" i="3"/>
  <c r="G277" i="3"/>
  <c r="F277" i="3"/>
  <c r="G276" i="3"/>
  <c r="F276" i="3"/>
  <c r="G275" i="3"/>
  <c r="F275" i="3"/>
  <c r="G274" i="3"/>
  <c r="F274" i="3"/>
  <c r="G273" i="3"/>
  <c r="F273" i="3"/>
  <c r="G272" i="3"/>
  <c r="F272" i="3"/>
  <c r="G271" i="3"/>
  <c r="F271" i="3"/>
  <c r="G270" i="3"/>
  <c r="F270" i="3"/>
  <c r="G269" i="3"/>
  <c r="F269" i="3"/>
  <c r="G268" i="3"/>
  <c r="F268" i="3"/>
  <c r="G267" i="3"/>
  <c r="F267" i="3"/>
  <c r="G266" i="3"/>
  <c r="F266" i="3"/>
  <c r="G265" i="3"/>
  <c r="F265" i="3"/>
  <c r="G264" i="3"/>
  <c r="F264" i="3"/>
  <c r="G263" i="3"/>
  <c r="F263" i="3"/>
  <c r="G262" i="3"/>
  <c r="F262" i="3"/>
  <c r="G261" i="3"/>
  <c r="F261" i="3"/>
  <c r="G260" i="3"/>
  <c r="F260" i="3"/>
  <c r="G259" i="3"/>
  <c r="F259" i="3"/>
  <c r="G258" i="3"/>
  <c r="F258" i="3"/>
  <c r="G257" i="3"/>
  <c r="F257" i="3"/>
  <c r="G256" i="3"/>
  <c r="F256" i="3"/>
  <c r="G255" i="3"/>
  <c r="F255" i="3"/>
  <c r="G254" i="3"/>
  <c r="F254" i="3"/>
  <c r="G253" i="3"/>
  <c r="F253" i="3"/>
  <c r="G252" i="3"/>
  <c r="F252" i="3"/>
  <c r="G251" i="3"/>
  <c r="F251" i="3"/>
  <c r="G250" i="3"/>
  <c r="F250" i="3"/>
  <c r="G249" i="3"/>
  <c r="F249" i="3"/>
  <c r="G248" i="3"/>
  <c r="F248" i="3"/>
  <c r="G247" i="3"/>
  <c r="F247" i="3"/>
  <c r="G246" i="3"/>
  <c r="F246" i="3"/>
  <c r="G245" i="3"/>
  <c r="F245" i="3"/>
  <c r="G244" i="3"/>
  <c r="F244" i="3"/>
  <c r="G243" i="3"/>
  <c r="F243" i="3"/>
  <c r="G242" i="3"/>
  <c r="F242" i="3"/>
  <c r="G241" i="3"/>
  <c r="F241" i="3"/>
  <c r="G240" i="3"/>
  <c r="F240" i="3"/>
  <c r="G239" i="3"/>
  <c r="F239" i="3"/>
  <c r="G238" i="3"/>
  <c r="F238" i="3"/>
  <c r="G237" i="3"/>
  <c r="F237" i="3"/>
  <c r="G236" i="3"/>
  <c r="F236" i="3"/>
  <c r="G235" i="3"/>
  <c r="F235" i="3"/>
  <c r="G234" i="3"/>
  <c r="F234" i="3"/>
  <c r="G233" i="3"/>
  <c r="F233" i="3"/>
  <c r="G232" i="3"/>
  <c r="F232" i="3"/>
  <c r="G231" i="3"/>
  <c r="F231" i="3"/>
  <c r="G230" i="3"/>
  <c r="F230" i="3"/>
  <c r="G229" i="3"/>
  <c r="F229" i="3"/>
  <c r="G228" i="3"/>
  <c r="F228" i="3"/>
  <c r="G227" i="3"/>
  <c r="F227" i="3"/>
  <c r="G226" i="3"/>
  <c r="F226" i="3"/>
  <c r="G225" i="3"/>
  <c r="F225" i="3"/>
  <c r="G224" i="3"/>
  <c r="F224" i="3"/>
  <c r="G223" i="3"/>
  <c r="F223" i="3"/>
  <c r="G222" i="3"/>
  <c r="F222" i="3"/>
  <c r="G221" i="3"/>
  <c r="F221" i="3"/>
  <c r="G220" i="3"/>
  <c r="F220" i="3"/>
  <c r="G219" i="3"/>
  <c r="F219" i="3"/>
  <c r="G218" i="3"/>
  <c r="F218" i="3"/>
  <c r="G217" i="3"/>
  <c r="F217" i="3"/>
  <c r="G216" i="3"/>
  <c r="F216" i="3"/>
  <c r="G215" i="3"/>
  <c r="F215" i="3"/>
  <c r="G214" i="3"/>
  <c r="F214" i="3"/>
  <c r="G213" i="3"/>
  <c r="F213" i="3"/>
  <c r="G212" i="3"/>
  <c r="F212" i="3"/>
  <c r="G211" i="3"/>
  <c r="F211" i="3"/>
  <c r="G210" i="3"/>
  <c r="F210" i="3"/>
  <c r="G209" i="3"/>
  <c r="F209" i="3"/>
  <c r="G208" i="3"/>
  <c r="F208" i="3"/>
  <c r="G207" i="3"/>
  <c r="F207" i="3"/>
  <c r="G206" i="3"/>
  <c r="F206" i="3"/>
  <c r="G205" i="3"/>
  <c r="F205" i="3"/>
  <c r="G204" i="3"/>
  <c r="F204" i="3"/>
  <c r="G203" i="3"/>
  <c r="F203" i="3"/>
  <c r="G202" i="3"/>
  <c r="F202" i="3"/>
  <c r="G201" i="3"/>
  <c r="F201" i="3"/>
  <c r="G200" i="3"/>
  <c r="F200" i="3"/>
  <c r="G199" i="3"/>
  <c r="F199" i="3"/>
  <c r="G198" i="3"/>
  <c r="F198" i="3"/>
  <c r="G197" i="3"/>
  <c r="F197" i="3"/>
  <c r="G196" i="3"/>
  <c r="F196" i="3"/>
  <c r="G195" i="3"/>
  <c r="F195" i="3"/>
  <c r="G194" i="3"/>
  <c r="F194" i="3"/>
  <c r="G193" i="3"/>
  <c r="F193" i="3"/>
  <c r="G192" i="3"/>
  <c r="F192" i="3"/>
  <c r="G191" i="3"/>
  <c r="F191" i="3"/>
  <c r="G190" i="3"/>
  <c r="F190" i="3"/>
  <c r="G189" i="3"/>
  <c r="F189" i="3"/>
  <c r="G188" i="3"/>
  <c r="F188" i="3"/>
  <c r="G187" i="3"/>
  <c r="F187" i="3"/>
  <c r="G186" i="3"/>
  <c r="F186" i="3"/>
  <c r="G185" i="3"/>
  <c r="F185" i="3"/>
  <c r="G184" i="3"/>
  <c r="F184" i="3"/>
  <c r="G183" i="3"/>
  <c r="F183" i="3"/>
  <c r="G182" i="3"/>
  <c r="F182" i="3"/>
  <c r="G181" i="3"/>
  <c r="F181" i="3"/>
  <c r="G180" i="3"/>
  <c r="F180" i="3"/>
  <c r="G179" i="3"/>
  <c r="F179" i="3"/>
  <c r="G178" i="3"/>
  <c r="F178" i="3"/>
  <c r="G177" i="3"/>
  <c r="F177" i="3"/>
  <c r="G176" i="3"/>
  <c r="F176" i="3"/>
  <c r="G175" i="3"/>
  <c r="F175" i="3"/>
  <c r="G174" i="3"/>
  <c r="F174" i="3"/>
  <c r="G173" i="3"/>
  <c r="F173" i="3"/>
  <c r="G172" i="3"/>
  <c r="F172" i="3"/>
  <c r="G171" i="3"/>
  <c r="F171" i="3"/>
  <c r="G170" i="3"/>
  <c r="F170" i="3"/>
  <c r="G169" i="3"/>
  <c r="F169" i="3"/>
  <c r="G168" i="3"/>
  <c r="F168" i="3"/>
  <c r="G167" i="3"/>
  <c r="F167" i="3"/>
  <c r="G166" i="3"/>
  <c r="F166" i="3"/>
  <c r="G165" i="3"/>
  <c r="F165" i="3"/>
  <c r="G164" i="3"/>
  <c r="F164" i="3"/>
  <c r="G163" i="3"/>
  <c r="F163" i="3"/>
  <c r="G162" i="3"/>
  <c r="F162" i="3"/>
  <c r="G161" i="3"/>
  <c r="F161" i="3"/>
  <c r="G160" i="3"/>
  <c r="F160" i="3"/>
  <c r="G159" i="3"/>
  <c r="F159" i="3"/>
  <c r="G158" i="3"/>
  <c r="F158" i="3"/>
  <c r="G157" i="3"/>
  <c r="F157" i="3"/>
  <c r="G156" i="3"/>
  <c r="F156" i="3"/>
  <c r="G155" i="3"/>
  <c r="F155" i="3"/>
  <c r="G154" i="3"/>
  <c r="F154" i="3"/>
  <c r="G153" i="3"/>
  <c r="F153" i="3"/>
  <c r="G152" i="3"/>
  <c r="F152" i="3"/>
  <c r="G151" i="3"/>
  <c r="F151" i="3"/>
  <c r="G150" i="3"/>
  <c r="F150" i="3"/>
  <c r="G149" i="3"/>
  <c r="F149" i="3"/>
  <c r="G148" i="3"/>
  <c r="F148" i="3"/>
  <c r="G147" i="3"/>
  <c r="F147" i="3"/>
  <c r="G146" i="3"/>
  <c r="F146" i="3"/>
  <c r="G145" i="3"/>
  <c r="F145" i="3"/>
  <c r="G144" i="3"/>
  <c r="F144" i="3"/>
  <c r="G143" i="3"/>
  <c r="F143" i="3"/>
  <c r="G142" i="3"/>
  <c r="F142" i="3"/>
  <c r="G141" i="3"/>
  <c r="F141" i="3"/>
  <c r="G140" i="3"/>
  <c r="F140" i="3"/>
  <c r="G139" i="3"/>
  <c r="F139" i="3"/>
  <c r="G138" i="3"/>
  <c r="F138" i="3"/>
  <c r="G137" i="3"/>
  <c r="F137" i="3"/>
  <c r="G136" i="3"/>
  <c r="F136" i="3"/>
  <c r="G135" i="3"/>
  <c r="F135" i="3"/>
  <c r="G134" i="3"/>
  <c r="F134" i="3"/>
  <c r="G133" i="3"/>
  <c r="F133" i="3"/>
  <c r="G132" i="3"/>
  <c r="F132" i="3"/>
  <c r="G131" i="3"/>
  <c r="F131" i="3"/>
  <c r="G130" i="3"/>
  <c r="F130" i="3"/>
  <c r="G129" i="3"/>
  <c r="F129" i="3"/>
  <c r="G128" i="3"/>
  <c r="F128" i="3"/>
  <c r="G127" i="3"/>
  <c r="F127" i="3"/>
  <c r="G126" i="3"/>
  <c r="F126" i="3"/>
  <c r="G125" i="3"/>
  <c r="F125" i="3"/>
  <c r="G124" i="3"/>
  <c r="F124" i="3"/>
  <c r="G123" i="3"/>
  <c r="F123" i="3"/>
  <c r="G122" i="3"/>
  <c r="F122" i="3"/>
  <c r="G121" i="3"/>
  <c r="F121" i="3"/>
  <c r="G120" i="3"/>
  <c r="F120" i="3"/>
  <c r="G119" i="3"/>
  <c r="F119" i="3"/>
  <c r="G118" i="3"/>
  <c r="F118" i="3"/>
  <c r="G117" i="3"/>
  <c r="F117" i="3"/>
  <c r="G116" i="3"/>
  <c r="F116" i="3"/>
  <c r="G115" i="3"/>
  <c r="F115" i="3"/>
  <c r="G114" i="3"/>
  <c r="F114" i="3"/>
  <c r="G113" i="3"/>
  <c r="F113" i="3"/>
  <c r="G112" i="3"/>
  <c r="F112" i="3"/>
  <c r="G111" i="3"/>
  <c r="F111" i="3"/>
  <c r="G110" i="3"/>
  <c r="F110" i="3"/>
  <c r="G109" i="3"/>
  <c r="F109" i="3"/>
  <c r="G108" i="3"/>
  <c r="F108" i="3"/>
  <c r="G107" i="3"/>
  <c r="F107" i="3"/>
  <c r="G106" i="3"/>
  <c r="F106" i="3"/>
  <c r="G105" i="3"/>
  <c r="F105" i="3"/>
  <c r="G104" i="3"/>
  <c r="F104" i="3"/>
  <c r="G103" i="3"/>
  <c r="F103" i="3"/>
  <c r="G102" i="3"/>
  <c r="F102" i="3"/>
  <c r="G101" i="3"/>
  <c r="F101" i="3"/>
  <c r="G100" i="3"/>
  <c r="F100" i="3"/>
  <c r="G99" i="3"/>
  <c r="F99" i="3"/>
  <c r="G98" i="3"/>
  <c r="F98" i="3"/>
  <c r="G97" i="3"/>
  <c r="F97" i="3"/>
  <c r="G96" i="3"/>
  <c r="F96" i="3"/>
  <c r="G95" i="3"/>
  <c r="F95" i="3"/>
  <c r="G94" i="3"/>
  <c r="F94" i="3"/>
  <c r="G93" i="3"/>
  <c r="F93" i="3"/>
  <c r="G92" i="3"/>
  <c r="F92" i="3"/>
  <c r="G91" i="3"/>
  <c r="F91" i="3"/>
  <c r="G90" i="3"/>
  <c r="F90" i="3"/>
  <c r="G89" i="3"/>
  <c r="F89" i="3"/>
  <c r="G88" i="3"/>
  <c r="F88" i="3"/>
  <c r="G87" i="3"/>
  <c r="F87" i="3"/>
  <c r="G86" i="3"/>
  <c r="F86" i="3"/>
  <c r="G85" i="3"/>
  <c r="F85" i="3"/>
  <c r="G84" i="3"/>
  <c r="F84" i="3"/>
  <c r="G83" i="3"/>
  <c r="F83" i="3"/>
  <c r="G82" i="3"/>
  <c r="F82" i="3"/>
  <c r="G81" i="3"/>
  <c r="F81" i="3"/>
  <c r="G80" i="3"/>
  <c r="F80" i="3"/>
  <c r="G79" i="3"/>
  <c r="F79" i="3"/>
  <c r="G78" i="3"/>
  <c r="F78" i="3"/>
  <c r="G77" i="3"/>
  <c r="F77" i="3"/>
  <c r="G76" i="3"/>
  <c r="F76" i="3"/>
  <c r="G75" i="3"/>
  <c r="F75" i="3"/>
  <c r="G74" i="3"/>
  <c r="F74" i="3"/>
  <c r="G73" i="3"/>
  <c r="F73" i="3"/>
  <c r="G72" i="3"/>
  <c r="F72" i="3"/>
  <c r="G71" i="3"/>
  <c r="F71" i="3"/>
  <c r="G70" i="3"/>
  <c r="F70" i="3"/>
  <c r="G69" i="3"/>
  <c r="F69" i="3"/>
  <c r="G68" i="3"/>
  <c r="F68" i="3"/>
  <c r="G67" i="3"/>
  <c r="F67" i="3"/>
  <c r="G66" i="3"/>
  <c r="F66" i="3"/>
  <c r="G65" i="3"/>
  <c r="F65" i="3"/>
  <c r="G64" i="3"/>
  <c r="F64" i="3"/>
  <c r="G63" i="3"/>
  <c r="F63" i="3"/>
  <c r="G62" i="3"/>
  <c r="F62" i="3"/>
  <c r="G61" i="3"/>
  <c r="F61" i="3"/>
  <c r="G60" i="3"/>
  <c r="F60" i="3"/>
  <c r="G59" i="3"/>
  <c r="F59" i="3"/>
  <c r="G58" i="3"/>
  <c r="F58" i="3"/>
  <c r="G57" i="3"/>
  <c r="F57" i="3"/>
  <c r="G56" i="3"/>
  <c r="F56" i="3"/>
  <c r="G55" i="3"/>
  <c r="F55" i="3"/>
  <c r="G54" i="3"/>
  <c r="F54" i="3"/>
  <c r="G53" i="3"/>
  <c r="F53" i="3"/>
  <c r="G52" i="3"/>
  <c r="F52" i="3"/>
  <c r="G51" i="3"/>
  <c r="F51" i="3"/>
  <c r="G50" i="3"/>
  <c r="F50" i="3"/>
  <c r="G49" i="3"/>
  <c r="F49" i="3"/>
  <c r="G48" i="3"/>
  <c r="F48" i="3"/>
  <c r="G47" i="3"/>
  <c r="F47" i="3"/>
  <c r="G46" i="3"/>
  <c r="F46" i="3"/>
  <c r="G45" i="3"/>
  <c r="F45" i="3"/>
  <c r="G44" i="3"/>
  <c r="F44" i="3"/>
  <c r="G43" i="3"/>
  <c r="F43" i="3"/>
  <c r="G42" i="3"/>
  <c r="F42" i="3"/>
  <c r="G41" i="3"/>
  <c r="F41" i="3"/>
  <c r="G40" i="3"/>
  <c r="F40" i="3"/>
  <c r="G39" i="3"/>
  <c r="F39" i="3"/>
  <c r="G38" i="3"/>
  <c r="F38" i="3"/>
  <c r="G37" i="3"/>
  <c r="F37" i="3"/>
  <c r="G36" i="3"/>
  <c r="F36" i="3"/>
  <c r="G35" i="3"/>
  <c r="F35" i="3"/>
  <c r="G34" i="3"/>
  <c r="F34" i="3"/>
  <c r="G33" i="3"/>
  <c r="F33" i="3"/>
  <c r="G32" i="3"/>
  <c r="F32" i="3"/>
  <c r="G31" i="3"/>
  <c r="F31" i="3"/>
  <c r="G30" i="3"/>
  <c r="F30" i="3"/>
  <c r="G29" i="3"/>
  <c r="F29" i="3"/>
  <c r="G28" i="3"/>
  <c r="F28" i="3"/>
  <c r="G27" i="3"/>
  <c r="F27" i="3"/>
  <c r="G26" i="3"/>
  <c r="F26" i="3"/>
  <c r="G25" i="3"/>
  <c r="F25" i="3"/>
  <c r="G24" i="3"/>
  <c r="F24" i="3"/>
  <c r="G23" i="3"/>
  <c r="F23" i="3"/>
  <c r="G22" i="3"/>
  <c r="F22" i="3"/>
  <c r="G21" i="3"/>
  <c r="F21" i="3"/>
  <c r="G20" i="3"/>
  <c r="F20" i="3"/>
  <c r="G19" i="3"/>
  <c r="F19" i="3"/>
  <c r="G18" i="3"/>
  <c r="F18" i="3"/>
  <c r="G17" i="3"/>
  <c r="F17" i="3"/>
  <c r="G16" i="3"/>
  <c r="F16" i="3"/>
  <c r="G15" i="3"/>
  <c r="F15" i="3"/>
  <c r="G14" i="3"/>
  <c r="F14" i="3"/>
  <c r="G13" i="3"/>
  <c r="F13" i="3"/>
  <c r="G12" i="3"/>
  <c r="F12" i="3"/>
  <c r="G11" i="3"/>
  <c r="F11" i="3"/>
  <c r="G10" i="3"/>
  <c r="F10" i="3"/>
  <c r="G9" i="3"/>
  <c r="F9" i="3"/>
  <c r="G8" i="3"/>
  <c r="F8" i="3"/>
  <c r="G7" i="3"/>
  <c r="F7" i="3"/>
  <c r="G6" i="3"/>
  <c r="F6" i="3"/>
  <c r="G5" i="3"/>
  <c r="F5" i="3"/>
  <c r="D6" i="5" l="1"/>
  <c r="C6" i="5"/>
  <c r="F6" i="5" s="1"/>
  <c r="B6" i="5"/>
  <c r="G151" i="4"/>
  <c r="F151" i="4"/>
  <c r="G159" i="4"/>
  <c r="F159" i="4"/>
  <c r="G167" i="4"/>
  <c r="F167" i="4"/>
  <c r="H12" i="5" s="1"/>
  <c r="G183" i="4"/>
  <c r="F183" i="4"/>
  <c r="G191" i="4"/>
  <c r="F191" i="4"/>
  <c r="H268" i="4"/>
  <c r="G268" i="4"/>
  <c r="F268" i="4"/>
  <c r="G297" i="4"/>
  <c r="H297" i="4"/>
  <c r="F297" i="4"/>
  <c r="F6" i="4"/>
  <c r="F8" i="4"/>
  <c r="F10" i="4"/>
  <c r="H5" i="5" s="1"/>
  <c r="F12" i="4"/>
  <c r="F14" i="4"/>
  <c r="F16" i="4"/>
  <c r="F18" i="4"/>
  <c r="F20" i="4"/>
  <c r="F22" i="4"/>
  <c r="F24" i="4"/>
  <c r="F26" i="4"/>
  <c r="F28" i="4"/>
  <c r="F30" i="4"/>
  <c r="F32" i="4"/>
  <c r="F34" i="4"/>
  <c r="F36" i="4"/>
  <c r="F38" i="4"/>
  <c r="F40" i="4"/>
  <c r="F42" i="4"/>
  <c r="F44" i="4"/>
  <c r="F46" i="4"/>
  <c r="F48" i="4"/>
  <c r="F50" i="4"/>
  <c r="F52" i="4"/>
  <c r="F54" i="4"/>
  <c r="F56" i="4"/>
  <c r="F58" i="4"/>
  <c r="F60" i="4"/>
  <c r="F62" i="4"/>
  <c r="F64" i="4"/>
  <c r="F66" i="4"/>
  <c r="F68" i="4"/>
  <c r="F70" i="4"/>
  <c r="F72" i="4"/>
  <c r="F76" i="4"/>
  <c r="H8" i="5" s="1"/>
  <c r="F78" i="4"/>
  <c r="F80" i="4"/>
  <c r="F82" i="4"/>
  <c r="F84" i="4"/>
  <c r="F86" i="4"/>
  <c r="F88" i="4"/>
  <c r="F90" i="4"/>
  <c r="F92" i="4"/>
  <c r="F94" i="4"/>
  <c r="F96" i="4"/>
  <c r="F98" i="4"/>
  <c r="H9" i="5" s="1"/>
  <c r="F100" i="4"/>
  <c r="F102" i="4"/>
  <c r="F104" i="4"/>
  <c r="F106" i="4"/>
  <c r="F108" i="4"/>
  <c r="F110" i="4"/>
  <c r="F112" i="4"/>
  <c r="F114" i="4"/>
  <c r="F116" i="4"/>
  <c r="F118" i="4"/>
  <c r="F122" i="4"/>
  <c r="H10" i="5" s="1"/>
  <c r="F124" i="4"/>
  <c r="F126" i="4"/>
  <c r="F128" i="4"/>
  <c r="F130" i="4"/>
  <c r="F132" i="4"/>
  <c r="F134" i="4"/>
  <c r="F136" i="4"/>
  <c r="F138" i="4"/>
  <c r="G145" i="4"/>
  <c r="F145" i="4"/>
  <c r="H151" i="4"/>
  <c r="G153" i="4"/>
  <c r="F153" i="4"/>
  <c r="H159" i="4"/>
  <c r="G161" i="4"/>
  <c r="F161" i="4"/>
  <c r="H167" i="4"/>
  <c r="G169" i="4"/>
  <c r="F169" i="4"/>
  <c r="G177" i="4"/>
  <c r="F177" i="4"/>
  <c r="H183" i="4"/>
  <c r="G185" i="4"/>
  <c r="F185" i="4"/>
  <c r="H191" i="4"/>
  <c r="G193" i="4"/>
  <c r="F193" i="4"/>
  <c r="G201" i="4"/>
  <c r="F201" i="4"/>
  <c r="H210" i="4"/>
  <c r="G210" i="4"/>
  <c r="H226" i="4"/>
  <c r="G226" i="4"/>
  <c r="H242" i="4"/>
  <c r="G242" i="4"/>
  <c r="C16" i="5"/>
  <c r="F16" i="5" s="1"/>
  <c r="B16" i="5"/>
  <c r="D16" i="5"/>
  <c r="H258" i="4"/>
  <c r="G258" i="4"/>
  <c r="H274" i="4"/>
  <c r="G274" i="4"/>
  <c r="G289" i="4"/>
  <c r="H289" i="4"/>
  <c r="F289" i="4"/>
  <c r="G299" i="4"/>
  <c r="H299" i="4"/>
  <c r="F299" i="4"/>
  <c r="H7" i="5"/>
  <c r="G141" i="4"/>
  <c r="F141" i="4"/>
  <c r="G149" i="4"/>
  <c r="F149" i="4"/>
  <c r="G157" i="4"/>
  <c r="F157" i="4"/>
  <c r="G165" i="4"/>
  <c r="F165" i="4"/>
  <c r="G173" i="4"/>
  <c r="F173" i="4"/>
  <c r="G181" i="4"/>
  <c r="F181" i="4"/>
  <c r="D13" i="5"/>
  <c r="C13" i="5"/>
  <c r="F13" i="5" s="1"/>
  <c r="B13" i="5"/>
  <c r="G189" i="4"/>
  <c r="F189" i="4"/>
  <c r="G197" i="4"/>
  <c r="F197" i="4"/>
  <c r="G205" i="4"/>
  <c r="F205" i="4"/>
  <c r="H218" i="4"/>
  <c r="G218" i="4"/>
  <c r="H234" i="4"/>
  <c r="G234" i="4"/>
  <c r="H250" i="4"/>
  <c r="G250" i="4"/>
  <c r="H266" i="4"/>
  <c r="G266" i="4"/>
  <c r="H282" i="4"/>
  <c r="G282" i="4"/>
  <c r="C8" i="5"/>
  <c r="F8" i="5" s="1"/>
  <c r="B8" i="5"/>
  <c r="D8" i="5"/>
  <c r="D10" i="5"/>
  <c r="C10" i="5"/>
  <c r="F10" i="5" s="1"/>
  <c r="B10" i="5"/>
  <c r="H141" i="4"/>
  <c r="B11" i="5"/>
  <c r="D11" i="5"/>
  <c r="C11" i="5"/>
  <c r="F11" i="5" s="1"/>
  <c r="G143" i="4"/>
  <c r="F143" i="4"/>
  <c r="H173" i="4"/>
  <c r="G175" i="4"/>
  <c r="F175" i="4"/>
  <c r="H197" i="4"/>
  <c r="G199" i="4"/>
  <c r="F199" i="4"/>
  <c r="H205" i="4"/>
  <c r="G207" i="4"/>
  <c r="F207" i="4"/>
  <c r="F218" i="4"/>
  <c r="H220" i="4"/>
  <c r="G220" i="4"/>
  <c r="F220" i="4"/>
  <c r="F234" i="4"/>
  <c r="H236" i="4"/>
  <c r="G236" i="4"/>
  <c r="F236" i="4"/>
  <c r="F250" i="4"/>
  <c r="H252" i="4"/>
  <c r="G252" i="4"/>
  <c r="F252" i="4"/>
  <c r="F282" i="4"/>
  <c r="H284" i="4"/>
  <c r="G284" i="4"/>
  <c r="F284" i="4"/>
  <c r="H20" i="5"/>
  <c r="D5" i="5"/>
  <c r="C5" i="5"/>
  <c r="F5" i="5" s="1"/>
  <c r="B5" i="5"/>
  <c r="G28" i="4"/>
  <c r="B7" i="5"/>
  <c r="D7" i="5"/>
  <c r="C7" i="5"/>
  <c r="F7" i="5" s="1"/>
  <c r="G74" i="4"/>
  <c r="D9" i="5"/>
  <c r="C9" i="5"/>
  <c r="F9" i="5" s="1"/>
  <c r="B9" i="5"/>
  <c r="G120" i="4"/>
  <c r="G138" i="4"/>
  <c r="G139" i="4"/>
  <c r="H145" i="4"/>
  <c r="G147" i="4"/>
  <c r="F147" i="4"/>
  <c r="H153" i="4"/>
  <c r="G155" i="4"/>
  <c r="F155" i="4"/>
  <c r="H161" i="4"/>
  <c r="G163" i="4"/>
  <c r="F163" i="4"/>
  <c r="H169" i="4"/>
  <c r="G171" i="4"/>
  <c r="F171" i="4"/>
  <c r="H177" i="4"/>
  <c r="G179" i="4"/>
  <c r="F179" i="4"/>
  <c r="H185" i="4"/>
  <c r="G187" i="4"/>
  <c r="F187" i="4"/>
  <c r="H193" i="4"/>
  <c r="G195" i="4"/>
  <c r="F195" i="4"/>
  <c r="H201" i="4"/>
  <c r="G203" i="4"/>
  <c r="F203" i="4"/>
  <c r="F210" i="4"/>
  <c r="D14" i="5"/>
  <c r="C14" i="5"/>
  <c r="F14" i="5" s="1"/>
  <c r="B14" i="5"/>
  <c r="H212" i="4"/>
  <c r="G212" i="4"/>
  <c r="F212" i="4"/>
  <c r="F226" i="4"/>
  <c r="H228" i="4"/>
  <c r="G228" i="4"/>
  <c r="F228" i="4"/>
  <c r="F242" i="4"/>
  <c r="H244" i="4"/>
  <c r="G244" i="4"/>
  <c r="F244" i="4"/>
  <c r="F258" i="4"/>
  <c r="H260" i="4"/>
  <c r="G260" i="4"/>
  <c r="F260" i="4"/>
  <c r="F274" i="4"/>
  <c r="H276" i="4"/>
  <c r="G276" i="4"/>
  <c r="F276" i="4"/>
  <c r="G291" i="4"/>
  <c r="H291" i="4"/>
  <c r="F291" i="4"/>
  <c r="H214" i="4"/>
  <c r="G214" i="4"/>
  <c r="H222" i="4"/>
  <c r="G222" i="4"/>
  <c r="H230" i="4"/>
  <c r="G230" i="4"/>
  <c r="H238" i="4"/>
  <c r="G238" i="4"/>
  <c r="H246" i="4"/>
  <c r="G246" i="4"/>
  <c r="H254" i="4"/>
  <c r="G254" i="4"/>
  <c r="H262" i="4"/>
  <c r="G262" i="4"/>
  <c r="H270" i="4"/>
  <c r="G270" i="4"/>
  <c r="H278" i="4"/>
  <c r="G278" i="4"/>
  <c r="H286" i="4"/>
  <c r="G286" i="4"/>
  <c r="C12" i="5"/>
  <c r="F12" i="5" s="1"/>
  <c r="B12" i="5"/>
  <c r="D12" i="5"/>
  <c r="H208" i="4"/>
  <c r="G208" i="4"/>
  <c r="F214" i="4"/>
  <c r="H216" i="4"/>
  <c r="G216" i="4"/>
  <c r="F222" i="4"/>
  <c r="H224" i="4"/>
  <c r="G224" i="4"/>
  <c r="F230" i="4"/>
  <c r="H232" i="4"/>
  <c r="G232" i="4"/>
  <c r="F238" i="4"/>
  <c r="H240" i="4"/>
  <c r="G240" i="4"/>
  <c r="F246" i="4"/>
  <c r="H248" i="4"/>
  <c r="G248" i="4"/>
  <c r="F254" i="4"/>
  <c r="H256" i="4"/>
  <c r="G256" i="4"/>
  <c r="F262" i="4"/>
  <c r="H264" i="4"/>
  <c r="G264" i="4"/>
  <c r="F270" i="4"/>
  <c r="H272" i="4"/>
  <c r="G272" i="4"/>
  <c r="F278" i="4"/>
  <c r="H280" i="4"/>
  <c r="G280" i="4"/>
  <c r="F286" i="4"/>
  <c r="B15" i="5"/>
  <c r="D15" i="5"/>
  <c r="C15" i="5"/>
  <c r="F15" i="5" s="1"/>
  <c r="D17" i="5"/>
  <c r="C17" i="5"/>
  <c r="F17" i="5" s="1"/>
  <c r="B17" i="5"/>
  <c r="F235" i="4"/>
  <c r="H15" i="5" s="1"/>
  <c r="F281" i="4"/>
  <c r="F287" i="4"/>
  <c r="F295" i="4"/>
  <c r="E18" i="5"/>
  <c r="G18" i="5"/>
  <c r="H19" i="5"/>
  <c r="G21" i="5"/>
  <c r="E21" i="5"/>
  <c r="F393" i="4"/>
  <c r="H21" i="5" s="1"/>
  <c r="H394" i="4"/>
  <c r="B18" i="5"/>
  <c r="C19" i="5"/>
  <c r="F19" i="5" s="1"/>
  <c r="D20" i="5"/>
  <c r="G327" i="4"/>
  <c r="G373" i="4"/>
  <c r="G395" i="4"/>
  <c r="C18" i="5"/>
  <c r="F18" i="5" s="1"/>
  <c r="D19" i="5"/>
  <c r="B21" i="5"/>
  <c r="B20" i="5"/>
  <c r="C21" i="5"/>
  <c r="F21" i="5" s="1"/>
  <c r="G12" i="5" l="1"/>
  <c r="E12" i="5"/>
  <c r="E6" i="5"/>
  <c r="G6" i="5"/>
  <c r="E19" i="5"/>
  <c r="G19" i="5"/>
  <c r="H16" i="5"/>
  <c r="E7" i="5"/>
  <c r="G7" i="5"/>
  <c r="E11" i="5"/>
  <c r="G11" i="5"/>
  <c r="H13" i="5"/>
  <c r="G13" i="5"/>
  <c r="E13" i="5"/>
  <c r="E14" i="5"/>
  <c r="G14" i="5"/>
  <c r="G8" i="5"/>
  <c r="E8" i="5"/>
  <c r="G16" i="5"/>
  <c r="E16" i="5"/>
  <c r="E15" i="5"/>
  <c r="G15" i="5"/>
  <c r="G20" i="5"/>
  <c r="E20" i="5"/>
  <c r="H17" i="5"/>
  <c r="G17" i="5"/>
  <c r="E17" i="5"/>
  <c r="H14" i="5"/>
  <c r="G9" i="5"/>
  <c r="E9" i="5"/>
  <c r="G5" i="5"/>
  <c r="E5" i="5"/>
  <c r="H11" i="5"/>
  <c r="E10" i="5"/>
  <c r="G10" i="5"/>
  <c r="H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T5" authorId="0" shapeId="0" xr:uid="{00000000-0006-0000-0500-000001000000}">
      <text>
        <r>
          <rPr>
            <sz val="11"/>
            <color theme="1"/>
            <rFont val="Calibri"/>
            <family val="2"/>
          </rPr>
          <t>2025 calculado como promedio simple de los trimestres móviles Ene-mar, Feb-abr, Mar-may, Abr-jun, May-jul, Jun-ago, Jul-sep, Ago-oct, Sep-nov y Oct-dic de 2025. Fuente: DANE, anexo GEIH EISS ene-mar 2026, hoja Prop informalidad.</t>
        </r>
      </text>
    </comment>
    <comment ref="U5" authorId="0" shapeId="0" xr:uid="{00000000-0006-0000-0500-000002000000}">
      <text>
        <r>
          <rPr>
            <sz val="11"/>
            <color theme="1"/>
            <rFont val="Calibri"/>
            <family val="2"/>
          </rPr>
          <t>2026 corresponde únicamente al trimestre Ene-mar 2026 reportado por la fuente. No representa promedio anual.</t>
        </r>
      </text>
    </comment>
    <comment ref="T31" authorId="0" shapeId="0" xr:uid="{00000000-0006-0000-0500-000003000000}">
      <text>
        <r>
          <rPr>
            <sz val="11"/>
            <color theme="1"/>
            <rFont val="Calibri"/>
            <family val="2"/>
          </rPr>
          <t>Fórmula activa del índice κₜ estimada con los parámetros aᶜ y bᶜ del modelo Lee-Carter ya existentes en la hoja Params_Lee-Carter.</t>
        </r>
      </text>
    </comment>
    <comment ref="U31" authorId="0" shapeId="0" xr:uid="{00000000-0006-0000-0500-000004000000}">
      <text>
        <r>
          <rPr>
            <sz val="11"/>
            <color theme="1"/>
            <rFont val="Calibri"/>
            <family val="2"/>
          </rPr>
          <t>Fórmula activa del índice κₜ. Debe interpretarse como corte Ene-mar 2026, no como valor anual definitivo.</t>
        </r>
      </text>
    </comment>
  </commentList>
</comments>
</file>

<file path=xl/sharedStrings.xml><?xml version="1.0" encoding="utf-8"?>
<sst xmlns="http://schemas.openxmlformats.org/spreadsheetml/2006/main" count="1070" uniqueCount="160">
  <si>
    <t>PROYECCIÓN DE TASAS DE INFORMALIDAD LABORAL</t>
  </si>
  <si>
    <t>Ciudades cubiertas:</t>
  </si>
  <si>
    <t>23 ciudades de cobertura GEIH-DANE</t>
  </si>
  <si>
    <t>Horizonte de proyección:</t>
  </si>
  <si>
    <t>2026 – 2042</t>
  </si>
  <si>
    <t>Metodología:</t>
  </si>
  <si>
    <t>Modelo Lee-Carter (1992) adaptado — igual criterio DANE-PPED 2025</t>
  </si>
  <si>
    <t>Proyección κₜ:</t>
  </si>
  <si>
    <t>Random Walk con Deriva — ARIMA(0,1,0) con intercepto</t>
  </si>
  <si>
    <t>Insumo poblacional:</t>
  </si>
  <si>
    <t>DANE PPED 2025 — PPED-AreaSexoEdadMun-2018-2042_VP</t>
  </si>
  <si>
    <t>Tasas históricas:</t>
  </si>
  <si>
    <t>DANE GEIH, promedio anual 2007-2024</t>
  </si>
  <si>
    <t>Producido por:</t>
  </si>
  <si>
    <t>Prométricas — Procesamiento estadístico, junio 2026</t>
  </si>
  <si>
    <t>Criterio de informalidad:</t>
  </si>
  <si>
    <t>Ocupados en establecimientos ≤ 5 trabajadores (DANE GEIH)</t>
  </si>
  <si>
    <t>Varianza explicada (1er factor):</t>
  </si>
  <si>
    <t>99.1%</t>
  </si>
  <si>
    <t>TASAS DE INFORMALIDAD LABORAL PROYECTADAS — ESCENARIO CENTRAL  |  2026–2042  (% Ocupados Informales / Total Ocupados)</t>
  </si>
  <si>
    <t>Valores proyectados por modelo Lee-Carter (1992). Varianza explicada por 1er componente SVD: 99.1%.  Fuente histórica: DANE GEIH 2007-2024.</t>
  </si>
  <si>
    <t>Ciudad</t>
  </si>
  <si>
    <t>2026</t>
  </si>
  <si>
    <t>2027</t>
  </si>
  <si>
    <t>2028</t>
  </si>
  <si>
    <t>2029</t>
  </si>
  <si>
    <t>2030</t>
  </si>
  <si>
    <t>2031</t>
  </si>
  <si>
    <t>2032</t>
  </si>
  <si>
    <t>2033</t>
  </si>
  <si>
    <t>2034</t>
  </si>
  <si>
    <t>2035</t>
  </si>
  <si>
    <t>2036</t>
  </si>
  <si>
    <t>2037</t>
  </si>
  <si>
    <t>2038</t>
  </si>
  <si>
    <t>2039</t>
  </si>
  <si>
    <t>2040</t>
  </si>
  <si>
    <t>2041</t>
  </si>
  <si>
    <t>2042</t>
  </si>
  <si>
    <t>Bogotá D.C.</t>
  </si>
  <si>
    <t>Medellín</t>
  </si>
  <si>
    <t>Cali</t>
  </si>
  <si>
    <t>Barranquilla</t>
  </si>
  <si>
    <t>Bucaramanga</t>
  </si>
  <si>
    <t>Manizales</t>
  </si>
  <si>
    <t>Pasto</t>
  </si>
  <si>
    <t>Pereira</t>
  </si>
  <si>
    <t>Cúcuta</t>
  </si>
  <si>
    <t>Ibagué</t>
  </si>
  <si>
    <t>Montería</t>
  </si>
  <si>
    <t>Cartagena</t>
  </si>
  <si>
    <t>Villavicencio</t>
  </si>
  <si>
    <t>Tunja</t>
  </si>
  <si>
    <t>Florencia</t>
  </si>
  <si>
    <t>Popayán</t>
  </si>
  <si>
    <t>Valledupar</t>
  </si>
  <si>
    <t>Quibdó</t>
  </si>
  <si>
    <t>Neiva</t>
  </si>
  <si>
    <t>Riohacha</t>
  </si>
  <si>
    <t>Santa Marta</t>
  </si>
  <si>
    <t>Armenia</t>
  </si>
  <si>
    <t>Sincelejo</t>
  </si>
  <si>
    <t>INTERVALOS DE CONFIANZA AL 95% — TASAS DE INFORMALIDAD PROYECTADAS  |  2026–2042</t>
  </si>
  <si>
    <t>Año</t>
  </si>
  <si>
    <t>Escenario Central (%)</t>
  </si>
  <si>
    <t>Límite Inferior 95% (%)</t>
  </si>
  <si>
    <t>Límite Superior 95% (%)</t>
  </si>
  <si>
    <t>Amplitud IC (pp)</t>
  </si>
  <si>
    <t>PEA 15-64</t>
  </si>
  <si>
    <t>OCUPADOS INFORMALES Y FORMALES PROYECTADOS  |  PEA 15-64 AÑOS  |  2026–2042</t>
  </si>
  <si>
    <t>NOTA METODOLÓGICA: Los valores de ocupados informales y formales proyectados se estiman aplicando la tasa de informalidad sobre la PEA de 15 a 64 años, utilizada como proxy del universo laboral disponible. Por tanto, estas cifras no corresponden a conteos directos de ocupados efectivos, sino a estimaciones aproximadas para fines comparativos y prospectivos.</t>
  </si>
  <si>
    <t>Población Total</t>
  </si>
  <si>
    <t>Tasa Informalidad (%)</t>
  </si>
  <si>
    <t>Ocupados Informales</t>
  </si>
  <si>
    <t>Ocupados Formales</t>
  </si>
  <si>
    <t>Var. Tasa vs 2018 (pp)</t>
  </si>
  <si>
    <t>Part. PEA/PobTotal (%)</t>
  </si>
  <si>
    <t>Dependencia (%)</t>
  </si>
  <si>
    <t>RESUMEN ANUAL — INFORMALIDAD NACIONAL  |  2026–2042  |  Fórmulas sobre Ocupados_Proy</t>
  </si>
  <si>
    <t>Nota: El total de informales estimados se calcula sobre la PEA 15-64 como proxy de ocupados; por ello, debe interpretarse como una estimación aproximada y no como conteo directo de ocupados efectivos..</t>
  </si>
  <si>
    <t>Promedio Ponderado (%)</t>
  </si>
  <si>
    <t>Mínimo (%)</t>
  </si>
  <si>
    <t>Máximo (%)</t>
  </si>
  <si>
    <t>Rango (pp)</t>
  </si>
  <si>
    <t>Ciudad con Menor Informalidad</t>
  </si>
  <si>
    <t>Ciudad con Mayor Informalidad</t>
  </si>
  <si>
    <t>Total Informales Estimados</t>
  </si>
  <si>
    <t>TASAS HISTÓRICAS DE INFORMALIDAD — DANE GEIH 2007-2026  |  (% Ocupados Informales / Total Ocupados)</t>
  </si>
  <si>
    <t>Fuente: DANE — Gran Encuesta Integrada de Hogares (GEIH). 2007-2024: serie histórica existente. 2025: promedio simple de trimestres móviles Ene-mar a Oct-dic 2025 tomado de la hoja “Prop informalidad”. 2026: dato parcial Ene-mar 2026, no promedio anual.</t>
  </si>
  <si>
    <t>2007</t>
  </si>
  <si>
    <t>2008</t>
  </si>
  <si>
    <t>2009</t>
  </si>
  <si>
    <t>2010</t>
  </si>
  <si>
    <t>2011</t>
  </si>
  <si>
    <t>2012</t>
  </si>
  <si>
    <t>2013</t>
  </si>
  <si>
    <t>2014</t>
  </si>
  <si>
    <t>2015</t>
  </si>
  <si>
    <t>2016</t>
  </si>
  <si>
    <t>2017</t>
  </si>
  <si>
    <t>2018</t>
  </si>
  <si>
    <t>2019</t>
  </si>
  <si>
    <t>2020</t>
  </si>
  <si>
    <t>2021</t>
  </si>
  <si>
    <t>2022</t>
  </si>
  <si>
    <t>2023</t>
  </si>
  <si>
    <t>2024</t>
  </si>
  <si>
    <t>2025</t>
  </si>
  <si>
    <t>Índice κₜ Lee-Carter (histórico)</t>
  </si>
  <si>
    <t>PARÁMETROS DEL MODELO LEE-CARTER  |  SVD + ARIMA(0,1,0) con deriva</t>
  </si>
  <si>
    <t>A. BONDAD DE AJUSTE DEL MODELO</t>
  </si>
  <si>
    <t>Varianza explicada — 1er factor SVD</t>
  </si>
  <si>
    <t>Un solo factor captura el 99.1% de la variación común entre ciudades</t>
  </si>
  <si>
    <t>Deriva de κₜ (drift anual)</t>
  </si>
  <si>
    <t>-0.132494</t>
  </si>
  <si>
    <t>Valor negativo → tendencia secular de reducción de informalidad</t>
  </si>
  <si>
    <t>Desv. estándar innovaciones σε</t>
  </si>
  <si>
    <t>0.3844</t>
  </si>
  <si>
    <t>Base para cálculo de IC al 95%: ±1.96 × σε × √h</t>
  </si>
  <si>
    <t>Período de calibración</t>
  </si>
  <si>
    <t>2007–2024</t>
  </si>
  <si>
    <t>18 observaciones anuales por ciudad</t>
  </si>
  <si>
    <t>Ciudades cubiertas</t>
  </si>
  <si>
    <t>23</t>
  </si>
  <si>
    <t>Cobertura GEIH — 13 ciudades originales + 10 ampliadas</t>
  </si>
  <si>
    <t>B. PARÁMETROS POR CIUDAD  |  aᶜ y bᶜ : hardcoded (modelo)  |  Tasas y cambio: fórmulas</t>
  </si>
  <si>
    <t>aᶜ (media log-tasa)</t>
  </si>
  <si>
    <t>bᶜ (carga factorial)</t>
  </si>
  <si>
    <t>Tasa Base 2018 (%)</t>
  </si>
  <si>
    <t>Tasa Proy. 2026 (%)</t>
  </si>
  <si>
    <t>Cambio 2018→2042 (pp)</t>
  </si>
  <si>
    <t>C. ÍNDICE TEMPORAL κₜ — HISTÓRICO (observado) Y PROYECTADO (ARIMA RWD)</t>
  </si>
  <si>
    <t>κₜ Observado</t>
  </si>
  <si>
    <t>κₜ Proyectado (central)</t>
  </si>
  <si>
    <t>κₜ IC Bajo 95%</t>
  </si>
  <si>
    <t>κₜ IC Alto 95%</t>
  </si>
  <si>
    <t>Tipo</t>
  </si>
  <si>
    <t>Observado</t>
  </si>
  <si>
    <t>Proyectado</t>
  </si>
  <si>
    <t>NOTA TÉCNICO-METODOLÓGICA — PROYECCIÓN DE TASAS DE INFORMALIDAD</t>
  </si>
  <si>
    <t>1. OBJETIVO</t>
  </si>
  <si>
    <t>Proyectar las tasas de informalidad laboral para 23 ciudades colombianas en el horizonte 2026–2042, siguiendo los criterios metodológicos de la Actualización PPED 2025 del DANE (Proyecciones de Población y Estudios Demográficos, julio 2025).</t>
  </si>
  <si>
    <t>2. FUENTES DE INFORMACIÓN</t>
  </si>
  <si>
    <t>• Insumo poblacional: DANE PPED 2025 — Archivo PPED-AreaSexoEdadMun-2018-2042_VP.xlsx. Proyecciones de PEA (15–64 años) por municipio, área, sexo y edades simples.
• Tasas históricas: DANE — Gran Encuesta Integrada de Hogares (GEIH), promedios anuales 2007-2024. Criterio de informalidad: ocupados en establecimientos con 5 o menos trabajadores.
• Referencia metodológica: DANE, Dirección de Censos y Demografía, Nota Técnica PPED Julio 2025.</t>
  </si>
  <si>
    <t>3. MODELO LEE-CARTER ADAPTADO</t>
  </si>
  <si>
    <t>El modelo Lee-Carter (1992), utilizado por el DANE adaptado para proyectar tasas específicas de fecundidad (ver Nota Técnica PPED Jul-2025, sección 2.4), se aplica aquí a las tasas de informalidad laboral:
    ln(r_{c,t}) = a_c + b_c × κ_t + ε_{c,t}
donde:
  • r_{c,t}  = tasa de informalidad de la ciudad c en el año t
  • a_c      = efecto de ciudad (media temporal del log de la tasa)
  • b_c      = carga factorial (sensibilidad de cada ciudad al cambio temporal)
  • κ_t      = índice temporal común (captura la tendencia secular)
  • ε_{c,t}  = error idiosincrático
ESTIMACIÓN: Descomposición en Valores Singulares (SVD) de la matriz de logs demediados. Se retiene el primer componente, que explica el 99.1% de la varianza total.</t>
  </si>
  <si>
    <t>4. PROYECCIÓN DE κₜ — RANDOM WALK CON DERIVA (ARIMA(0,1,0))</t>
  </si>
  <si>
    <t>Siguiendo a Lee y Carter (1992) y al procedimiento del DANE para tasas específicas de fecundidad, el índice κₜ se proyecta mediante ARIMA(0,1,0) con intercepto:
    Δκ_t = d + ε_t,   ε_t ~ N(0, σ²_ε)
Deriva estimada: d = -0.132494  (valor negativo → informalidad tiende a bajar)
σε = 0.3844
Intervalos de confianza al 95%:  κ_{{T+h}} ± 1.96 × σε × √h</t>
  </si>
  <si>
    <t>5. PEA COMO PROXY DE OCUPADOS — ACLARACIÓN CONCEPTUAL</t>
  </si>
  <si>
    <t>La tasa de informalidad se define estadísticamente sobre el total de ocupados (no sobre la PEA bruta). Sin embargo, dado que no se disponen de proyecciones independientes de ocupados para el horizonte 2026-2042, la PEA 15-64 del PPED se utiliza como denominador proxy:
    Ocupados Informales_{c,t} = PEA_{c,t} × r_{c,t}
    Ocupados Formales_{c,t}   = PEA_{c,t} × (1 - r_{c,t})
Esta aproximación asume implícitamente que la tasa de participación laboral efectiva (ocupados/PEA) se mantiene estable a lo largo del horizonte de proyección. Los resultados deben interpretarse como estimaciones proyectadas, no como cifras definitivas.</t>
  </si>
  <si>
    <t>6. CONVERGENCIA Y HETEROGENEIDAD ENTRE CIUDADES</t>
  </si>
  <si>
    <t>Las cargas factoriales b_c heterogéneas garantizan que ciudades con alta y baja informalidad converjan a ritmos distintos, conforme a sus perfiles históricos. No se impone convergencia forzada a un valor único, análogo al criterio de "diferentes grupos de convergencia a un mismo horizonte temporal" del DANE (ver Tabla 1, Nota Técnica PPED Jul-2025).</t>
  </si>
  <si>
    <t>7. FÓRMULAS EN EL ARCHIVO EXCEL</t>
  </si>
  <si>
    <t>Las siguientes celdas contienen fórmulas activas (no valores hardcoded):
• Ocupados_Proy — col E (Tasa Informalidad): referencia a Tasas_Informalidad_Proy
• Ocupados_Proy — col F (Ocupados Informales): = PEA × Tasa / 100
• Ocupados_Proy — col G (Ocupados Formales): = PEA × (1 - Tasa/100)
• Ocupados_Proy — col H (Var vs 2018): referencia cruzada a Historico_GEIH_2007-2024
• Ocupados_Proy — cols I, J (Part. PEA, Dependencia): derivadas de C y D
• IC_95pct — col F (Amplitud): = IC_Hi - IC_Lo
• IC_95pct — col G (PEA): referencia a Ocupados_Proy
• Resumen_por_Año — todas las columnas: SUMPRODUCT, MIN, MAX, INDEX/MATCH, SUM
• Params_Lee-Carter — cols D, E, F: referencias a hojas fuente
Valores hardcoded (salidas del modelo estadístico): tasas proyectadas, parámetros a_c y b_c, índice κₜ histórico y proyectado, datos históricos GEIH.</t>
  </si>
  <si>
    <t>8. REFERENCIAS</t>
  </si>
  <si>
    <t>• Lee, R.D. &amp; Carter, L.R. (1992). Modeling and Forecasting U.S. Mortality. JASA, 87(419).
• DANE (2025). Nota Técnica PPED — Proyecciones de Población, Actualización 2025.
• DANE (2024). Gran Encuesta Integrada de Hogares — Mercado Laboral. Informalidad.
• Azose, J.J. &amp; Raftery, A.E. (2015). Bayesian Probabilistic Projection of Migration. Demography.
• Rogers, A. (2015). Applied Multiregional Demography. Springer.</t>
  </si>
  <si>
    <t>◀  HISTÓRICO — DANE GEIH  |  2007–2026  ▶</t>
  </si>
  <si>
    <t>◀  PROYECCIÓN LEE-CARTER  |  2026–2042  ▶</t>
  </si>
  <si>
    <t>Histórico 2007–2026: DANE — Gran Encuesta Integrada de Hogares (GEIH). 2007–2024: serie anual observada. 2025: promedio trimestres móviles Ene-mar a Oct-dic 2025. 2026: dato parcial Ene-mar 2026 (no promedio anual). Proyección 2026–2042: Modelo Lee-Carter (1992), escenario central — ARIMA(0,1,0) con deriva. Varianza explicada (1er factor SVD): 99.1%.</t>
  </si>
  <si>
    <t xml:space="preserve"> TASAS DE INFORMALIDAD LABORAL: HISTÓRICO Y PROYECCIÓN  |  2007–2042  (% Ocupados Informales / Total Ocupados)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</si>
</sst>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
    <numFmt numFmtId="166" formatCode="0.0"/>
    <numFmt numFmtId="167" formatCode="0.000000"/>
  </numFmts>
  <fonts count="19" x14ac:knownFonts="1">
    <font>
      <sz val="11"/>
      <color theme="1"/>
      <name val="Calibri"/>
    </font>
    <font>
      <b/>
      <sz val="20"/>
      <color rgb="FFFFFFFF"/>
      <name val="Arial"/>
      <family val="2"/>
    </font>
    <font>
      <b/>
      <sz val="10"/>
      <color rgb="FF2C3E50"/>
      <name val="Arial"/>
      <family val="2"/>
    </font>
    <font>
      <sz val="10"/>
      <color rgb="FF2C3E50"/>
      <name val="Arial"/>
      <family val="2"/>
    </font>
    <font>
      <b/>
      <sz val="11"/>
      <color rgb="FFFFFFFF"/>
      <name val="Arial"/>
      <family val="2"/>
    </font>
    <font>
      <i/>
      <sz val="9"/>
      <color rgb="FF555555"/>
      <name val="Arial"/>
      <family val="2"/>
    </font>
    <font>
      <b/>
      <sz val="10"/>
      <color rgb="FFFFFFFF"/>
      <name val="Arial"/>
      <family val="2"/>
    </font>
    <font>
      <b/>
      <sz val="9"/>
      <color rgb="FF000000"/>
      <name val="Arial"/>
      <family val="2"/>
    </font>
    <font>
      <sz val="9"/>
      <color rgb="FF000000"/>
      <name val="Arial"/>
      <family val="2"/>
    </font>
    <font>
      <b/>
      <sz val="9"/>
      <color rgb="FFC0392B"/>
      <name val="Arial"/>
      <family val="2"/>
    </font>
    <font>
      <sz val="9"/>
      <color rgb="FFC0392B"/>
      <name val="Arial"/>
      <family val="2"/>
    </font>
    <font>
      <b/>
      <sz val="13"/>
      <color rgb="FFFFFFFF"/>
      <name val="Arial"/>
      <family val="2"/>
    </font>
    <font>
      <sz val="9"/>
      <color rgb="FF2C3E50"/>
      <name val="Arial"/>
      <family val="2"/>
    </font>
    <font>
      <b/>
      <sz val="12"/>
      <color rgb="FFFFFFFF"/>
      <name val="Calibri"/>
      <family val="2"/>
    </font>
    <font>
      <sz val="9"/>
      <color rgb="FF555555"/>
      <name val="Calibri"/>
      <family val="2"/>
    </font>
    <font>
      <b/>
      <sz val="10"/>
      <color rgb="FFFFFFFF"/>
      <name val="Calibri"/>
      <family val="2"/>
    </font>
    <font>
      <b/>
      <sz val="10"/>
      <color rgb="FF000000"/>
      <name val="Calibri"/>
      <family val="2"/>
    </font>
    <font>
      <sz val="11"/>
      <color theme="1"/>
      <name val="Calibri"/>
      <family val="2"/>
    </font>
    <font>
      <sz val="11"/>
      <color rgb="FF000000"/>
      <name val="Calibri"/>
      <family val="2"/>
    </font>
  </fonts>
  <fills count="10">
    <fill>
      <patternFill patternType="none"/>
    </fill>
    <fill>
      <patternFill patternType="gray125"/>
    </fill>
    <fill>
      <patternFill patternType="solid">
        <fgColor rgb="FFC0392B"/>
      </patternFill>
    </fill>
    <fill>
      <patternFill patternType="solid">
        <fgColor rgb="FFF2F2F2"/>
      </patternFill>
    </fill>
    <fill>
      <patternFill patternType="solid">
        <fgColor rgb="FF2C3E50"/>
      </patternFill>
    </fill>
    <fill>
      <patternFill patternType="solid">
        <fgColor rgb="FFFFFFFF"/>
      </patternFill>
    </fill>
    <fill>
      <patternFill patternType="solid">
        <fgColor rgb="FFFEF9E7"/>
      </patternFill>
    </fill>
    <fill>
      <patternFill patternType="solid">
        <fgColor rgb="FFFADBD8"/>
      </patternFill>
    </fill>
    <fill>
      <patternFill patternType="solid">
        <fgColor rgb="FFD6E4F0"/>
      </patternFill>
    </fill>
    <fill>
      <patternFill patternType="solid">
        <fgColor rgb="FFD5F5E3"/>
      </patternFill>
    </fill>
  </fills>
  <borders count="8">
    <border>
      <left/>
      <right/>
      <top/>
      <bottom/>
      <diagonal/>
    </border>
    <border>
      <left style="thin">
        <color rgb="FFAAAAAA"/>
      </left>
      <right style="thin">
        <color rgb="FFAAAAAA"/>
      </right>
      <top style="thin">
        <color rgb="FFAAAAAA"/>
      </top>
      <bottom style="thin">
        <color rgb="FFAAAAAA"/>
      </bottom>
      <diagonal/>
    </border>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1">
    <xf numFmtId="0" fontId="0" fillId="0" borderId="2"/>
  </cellStyleXfs>
  <cellXfs count="67">
    <xf numFmtId="0" fontId="0" fillId="0" borderId="0" xfId="0" applyBorder="1"/>
    <xf numFmtId="0" fontId="8" fillId="5" borderId="1" xfId="0" applyFont="1" applyFill="1" applyBorder="1" applyAlignment="1">
      <alignment horizontal="left" vertical="center"/>
    </xf>
    <xf numFmtId="0" fontId="8" fillId="3" borderId="1" xfId="0" applyFont="1" applyFill="1" applyBorder="1" applyAlignment="1">
      <alignment horizontal="left" vertical="center"/>
    </xf>
    <xf numFmtId="0" fontId="2" fillId="0" borderId="0" xfId="0" applyFont="1" applyBorder="1"/>
    <xf numFmtId="0" fontId="3" fillId="0" borderId="0" xfId="0" applyFont="1" applyBorder="1"/>
    <xf numFmtId="0" fontId="6" fillId="4" borderId="1" xfId="0" applyFont="1" applyFill="1" applyBorder="1" applyAlignment="1">
      <alignment horizontal="center" vertical="center"/>
    </xf>
    <xf numFmtId="0" fontId="7" fillId="3" borderId="1" xfId="0" applyFont="1" applyFill="1" applyBorder="1" applyAlignment="1">
      <alignment horizontal="left" vertical="center"/>
    </xf>
    <xf numFmtId="164" fontId="8" fillId="3" borderId="1" xfId="0" applyNumberFormat="1" applyFont="1" applyFill="1" applyBorder="1" applyAlignment="1">
      <alignment horizontal="center" vertical="center"/>
    </xf>
    <xf numFmtId="0" fontId="7" fillId="5" borderId="1" xfId="0" applyFont="1" applyFill="1" applyBorder="1" applyAlignment="1">
      <alignment horizontal="left" vertical="center"/>
    </xf>
    <xf numFmtId="164" fontId="8" fillId="5" borderId="1" xfId="0" applyNumberFormat="1" applyFont="1" applyFill="1" applyBorder="1" applyAlignment="1">
      <alignment horizontal="center" vertical="center"/>
    </xf>
    <xf numFmtId="0" fontId="8" fillId="3" borderId="1" xfId="0" applyFont="1" applyFill="1" applyBorder="1" applyAlignment="1">
      <alignment horizontal="center" vertical="center"/>
    </xf>
    <xf numFmtId="2" fontId="8" fillId="3" borderId="1" xfId="0" applyNumberFormat="1" applyFont="1" applyFill="1" applyBorder="1" applyAlignment="1">
      <alignment horizontal="center" vertical="center"/>
    </xf>
    <xf numFmtId="3" fontId="8" fillId="3" borderId="1" xfId="0" applyNumberFormat="1" applyFont="1" applyFill="1" applyBorder="1" applyAlignment="1">
      <alignment horizontal="right" vertical="center"/>
    </xf>
    <xf numFmtId="0" fontId="8" fillId="5" borderId="1" xfId="0" applyFont="1" applyFill="1" applyBorder="1" applyAlignment="1">
      <alignment horizontal="center" vertical="center"/>
    </xf>
    <xf numFmtId="2" fontId="8" fillId="5" borderId="1" xfId="0" applyNumberFormat="1" applyFont="1" applyFill="1" applyBorder="1" applyAlignment="1">
      <alignment horizontal="center" vertical="center"/>
    </xf>
    <xf numFmtId="3" fontId="8" fillId="5" borderId="1" xfId="0" applyNumberFormat="1" applyFont="1" applyFill="1" applyBorder="1" applyAlignment="1">
      <alignment horizontal="right" vertical="center"/>
    </xf>
    <xf numFmtId="165" fontId="8" fillId="3" borderId="1" xfId="0" applyNumberFormat="1" applyFont="1" applyFill="1" applyBorder="1" applyAlignment="1">
      <alignment horizontal="center" vertical="center"/>
    </xf>
    <xf numFmtId="166" fontId="8" fillId="3" borderId="1" xfId="0" applyNumberFormat="1" applyFont="1" applyFill="1" applyBorder="1" applyAlignment="1">
      <alignment horizontal="center" vertical="center"/>
    </xf>
    <xf numFmtId="165" fontId="8" fillId="5" borderId="1" xfId="0" applyNumberFormat="1" applyFont="1" applyFill="1" applyBorder="1" applyAlignment="1">
      <alignment horizontal="center" vertical="center"/>
    </xf>
    <xf numFmtId="166" fontId="8" fillId="5" borderId="1" xfId="0" applyNumberFormat="1" applyFont="1" applyFill="1" applyBorder="1" applyAlignment="1">
      <alignment horizontal="center" vertical="center"/>
    </xf>
    <xf numFmtId="0" fontId="7" fillId="3" borderId="1" xfId="0" applyFont="1" applyFill="1" applyBorder="1" applyAlignment="1">
      <alignment horizontal="center" vertical="center"/>
    </xf>
    <xf numFmtId="0" fontId="7" fillId="5" borderId="1" xfId="0" applyFont="1" applyFill="1" applyBorder="1" applyAlignment="1">
      <alignment horizontal="center" vertical="center"/>
    </xf>
    <xf numFmtId="164" fontId="7" fillId="7" borderId="1" xfId="0" applyNumberFormat="1" applyFont="1" applyFill="1" applyBorder="1" applyAlignment="1">
      <alignment horizontal="center" vertical="center"/>
    </xf>
    <xf numFmtId="0" fontId="6" fillId="2" borderId="1" xfId="0" applyFont="1" applyFill="1" applyBorder="1"/>
    <xf numFmtId="167" fontId="8" fillId="7" borderId="1" xfId="0" applyNumberFormat="1" applyFont="1" applyFill="1" applyBorder="1" applyAlignment="1">
      <alignment horizontal="center" vertical="center"/>
    </xf>
    <xf numFmtId="0" fontId="9" fillId="3" borderId="1" xfId="0" applyFont="1" applyFill="1" applyBorder="1" applyAlignment="1">
      <alignment horizontal="center" vertical="center"/>
    </xf>
    <xf numFmtId="0" fontId="9" fillId="5" borderId="1" xfId="0" applyFont="1" applyFill="1" applyBorder="1" applyAlignment="1">
      <alignment horizontal="center" vertical="center"/>
    </xf>
    <xf numFmtId="167" fontId="8" fillId="3" borderId="1" xfId="0" applyNumberFormat="1" applyFont="1" applyFill="1" applyBorder="1" applyAlignment="1">
      <alignment horizontal="center" vertical="center"/>
    </xf>
    <xf numFmtId="165" fontId="10" fillId="3" borderId="1" xfId="0" applyNumberFormat="1" applyFont="1" applyFill="1" applyBorder="1" applyAlignment="1">
      <alignment horizontal="center" vertical="center"/>
    </xf>
    <xf numFmtId="167" fontId="8" fillId="5" borderId="1" xfId="0" applyNumberFormat="1" applyFont="1" applyFill="1" applyBorder="1" applyAlignment="1">
      <alignment horizontal="center" vertical="center"/>
    </xf>
    <xf numFmtId="165" fontId="10" fillId="5" borderId="1" xfId="0" applyNumberFormat="1" applyFont="1" applyFill="1" applyBorder="1" applyAlignment="1">
      <alignment horizontal="center" vertical="center"/>
    </xf>
    <xf numFmtId="0" fontId="8" fillId="8" borderId="1" xfId="0" applyFont="1" applyFill="1" applyBorder="1" applyAlignment="1">
      <alignment horizontal="center" vertical="center"/>
    </xf>
    <xf numFmtId="167" fontId="8" fillId="8" borderId="1" xfId="0" applyNumberFormat="1" applyFont="1" applyFill="1" applyBorder="1" applyAlignment="1">
      <alignment horizontal="center" vertical="center"/>
    </xf>
    <xf numFmtId="0" fontId="8" fillId="9" borderId="1" xfId="0" applyFont="1" applyFill="1" applyBorder="1" applyAlignment="1">
      <alignment horizontal="center" vertical="center"/>
    </xf>
    <xf numFmtId="167" fontId="8" fillId="9" borderId="1" xfId="0" applyNumberFormat="1" applyFont="1" applyFill="1" applyBorder="1" applyAlignment="1">
      <alignment horizontal="center" vertical="center"/>
    </xf>
    <xf numFmtId="0" fontId="5" fillId="0" borderId="0" xfId="0" applyFont="1" applyBorder="1" applyAlignment="1">
      <alignment vertical="center" wrapText="1"/>
    </xf>
    <xf numFmtId="0" fontId="15" fillId="4" borderId="0" xfId="0" applyFont="1" applyFill="1" applyBorder="1" applyAlignment="1">
      <alignment horizontal="center" vertical="center"/>
    </xf>
    <xf numFmtId="0" fontId="15" fillId="2" borderId="0" xfId="0" applyFont="1" applyFill="1" applyBorder="1" applyAlignment="1">
      <alignment horizontal="center" vertical="center"/>
    </xf>
    <xf numFmtId="0" fontId="16" fillId="3" borderId="0" xfId="0" applyFont="1" applyFill="1" applyBorder="1" applyAlignment="1">
      <alignment horizontal="left" vertical="center"/>
    </xf>
    <xf numFmtId="0" fontId="16" fillId="5" borderId="0" xfId="0" applyFont="1" applyFill="1" applyBorder="1" applyAlignment="1">
      <alignment horizontal="left" vertical="center"/>
    </xf>
    <xf numFmtId="0" fontId="15" fillId="2" borderId="0" xfId="0" applyFont="1" applyFill="1" applyBorder="1" applyAlignment="1">
      <alignment horizontal="left" vertical="center"/>
    </xf>
    <xf numFmtId="167" fontId="15" fillId="2" borderId="0" xfId="0" applyNumberFormat="1" applyFont="1" applyFill="1" applyBorder="1" applyAlignment="1">
      <alignment horizontal="center" vertical="center"/>
    </xf>
    <xf numFmtId="0" fontId="0" fillId="2" borderId="0" xfId="0" applyFill="1" applyBorder="1"/>
    <xf numFmtId="0" fontId="15" fillId="4" borderId="2" xfId="0" applyFont="1" applyFill="1" applyAlignment="1">
      <alignment horizontal="center" vertical="center"/>
    </xf>
    <xf numFmtId="0" fontId="0" fillId="0" borderId="2" xfId="0"/>
    <xf numFmtId="0" fontId="13" fillId="4" borderId="2" xfId="0" applyFont="1" applyFill="1" applyAlignment="1">
      <alignment horizontal="center" vertical="center" wrapText="1"/>
    </xf>
    <xf numFmtId="0" fontId="14" fillId="3" borderId="2" xfId="0" applyFont="1" applyFill="1" applyAlignment="1">
      <alignment horizontal="center" vertical="center" wrapText="1"/>
    </xf>
    <xf numFmtId="0" fontId="15" fillId="2" borderId="2" xfId="0" applyFont="1" applyFill="1" applyAlignment="1">
      <alignment horizontal="center" vertical="center"/>
    </xf>
    <xf numFmtId="0" fontId="1" fillId="2" borderId="2" xfId="0" applyFont="1" applyFill="1" applyAlignment="1">
      <alignment horizontal="center" vertical="center" wrapText="1"/>
    </xf>
    <xf numFmtId="0" fontId="0" fillId="0" borderId="0" xfId="0" applyBorder="1"/>
    <xf numFmtId="0" fontId="5" fillId="3" borderId="2" xfId="0" applyFont="1" applyFill="1" applyAlignment="1">
      <alignment horizontal="center" vertical="center"/>
    </xf>
    <xf numFmtId="0" fontId="4" fillId="2" borderId="2" xfId="0" applyFont="1" applyFill="1" applyAlignment="1">
      <alignment horizontal="center" vertical="center" wrapText="1"/>
    </xf>
    <xf numFmtId="0" fontId="5" fillId="6" borderId="2" xfId="0" applyFont="1" applyFill="1" applyAlignment="1">
      <alignment horizontal="left" vertical="center" wrapText="1"/>
    </xf>
    <xf numFmtId="0" fontId="5" fillId="6" borderId="5" xfId="0" applyFont="1" applyFill="1" applyBorder="1" applyAlignment="1">
      <alignment horizontal="left" vertical="center" wrapText="1"/>
    </xf>
    <xf numFmtId="0" fontId="0" fillId="0" borderId="5" xfId="0" applyBorder="1"/>
    <xf numFmtId="0" fontId="4" fillId="4" borderId="2" xfId="0" applyFont="1" applyFill="1" applyAlignment="1">
      <alignment horizontal="center" vertical="center" wrapText="1"/>
    </xf>
    <xf numFmtId="0" fontId="8" fillId="5" borderId="3" xfId="0" applyFont="1" applyFill="1" applyBorder="1" applyAlignment="1">
      <alignment horizontal="left" vertical="center"/>
    </xf>
    <xf numFmtId="0" fontId="0" fillId="0" borderId="6" xfId="0" applyBorder="1"/>
    <xf numFmtId="0" fontId="0" fillId="0" borderId="7" xfId="0" applyBorder="1"/>
    <xf numFmtId="0" fontId="8" fillId="3" borderId="3" xfId="0" applyFont="1" applyFill="1" applyBorder="1" applyAlignment="1">
      <alignment horizontal="left" vertical="center"/>
    </xf>
    <xf numFmtId="0" fontId="6" fillId="2" borderId="2" xfId="0" applyFont="1" applyFill="1" applyAlignment="1">
      <alignment horizontal="left" vertical="center"/>
    </xf>
    <xf numFmtId="0" fontId="12" fillId="3" borderId="4" xfId="0" applyFont="1" applyFill="1" applyBorder="1" applyAlignment="1">
      <alignment horizontal="left" vertical="top" wrapText="1"/>
    </xf>
    <xf numFmtId="0" fontId="12" fillId="5" borderId="4" xfId="0" applyFont="1" applyFill="1" applyBorder="1" applyAlignment="1">
      <alignment horizontal="left" vertical="top" wrapText="1"/>
    </xf>
    <xf numFmtId="0" fontId="6" fillId="2" borderId="4" xfId="0" applyFont="1" applyFill="1" applyBorder="1" applyAlignment="1">
      <alignment horizontal="left" vertical="center"/>
    </xf>
    <xf numFmtId="0" fontId="11" fillId="4" borderId="2" xfId="0" applyFont="1" applyFill="1" applyAlignment="1">
      <alignment horizontal="center" vertical="center" wrapText="1"/>
    </xf>
    <xf numFmtId="2" fontId="18" fillId="3" borderId="0" xfId="0" applyNumberFormat="1" applyFont="1" applyFill="1" applyBorder="1" applyAlignment="1">
      <alignment horizontal="center" vertical="center"/>
    </xf>
    <xf numFmtId="2" fontId="18" fillId="5" borderId="0"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6A085"/>
      <rgbColor rgb="FFC0C0C0"/>
      <rgbColor rgb="FF7F8C8D"/>
      <rgbColor rgb="FF9999FF"/>
      <rgbColor rgb="FF8E44AD"/>
      <rgbColor rgb="FFFEF9E7"/>
      <rgbColor rgb="FFF2F2F2"/>
      <rgbColor rgb="FF660066"/>
      <rgbColor rgb="FFFF8080"/>
      <rgbColor rgb="FF0066CC"/>
      <rgbColor rgb="FFD6E4F0"/>
      <rgbColor rgb="FF000080"/>
      <rgbColor rgb="FFFF00FF"/>
      <rgbColor rgb="FFFFFF00"/>
      <rgbColor rgb="FF00FFFF"/>
      <rgbColor rgb="FF800080"/>
      <rgbColor rgb="FF800000"/>
      <rgbColor rgb="FF2980B9"/>
      <rgbColor rgb="FF0000FF"/>
      <rgbColor rgb="FF00CCFF"/>
      <rgbColor rgb="FFCCFFFF"/>
      <rgbColor rgb="FFD5F5E3"/>
      <rgbColor rgb="FFFFFF99"/>
      <rgbColor rgb="FF99CCFF"/>
      <rgbColor rgb="FFFF99CC"/>
      <rgbColor rgb="FFCC99FF"/>
      <rgbColor rgb="FFFADBD8"/>
      <rgbColor rgb="FF3366FF"/>
      <rgbColor rgb="FF33CCCC"/>
      <rgbColor rgb="FF99CC00"/>
      <rgbColor rgb="FFFFCC00"/>
      <rgbColor rgb="FFF39C12"/>
      <rgbColor rgb="FFFF6600"/>
      <rgbColor rgb="FF555555"/>
      <rgbColor rgb="FFAAAAAA"/>
      <rgbColor rgb="FF003366"/>
      <rgbColor rgb="FF27AE60"/>
      <rgbColor rgb="FF003300"/>
      <rgbColor rgb="FF333300"/>
      <rgbColor rgb="FFC0392B"/>
      <rgbColor rgb="FF993366"/>
      <rgbColor rgb="FF333399"/>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32"/>
  <sheetViews>
    <sheetView tabSelected="1" workbookViewId="0">
      <selection activeCell="A7" sqref="A7"/>
    </sheetView>
  </sheetViews>
  <sheetFormatPr baseColWidth="10" defaultColWidth="9.140625" defaultRowHeight="15" x14ac:dyDescent="0.25"/>
  <cols>
    <col min="1" max="1" width="22" customWidth="1"/>
    <col min="2" max="38" width="9" customWidth="1"/>
  </cols>
  <sheetData>
    <row r="1" spans="1:38" ht="27.95" customHeight="1" x14ac:dyDescent="0.25">
      <c r="A1" s="45" t="s">
        <v>159</v>
      </c>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row>
    <row r="2" spans="1:38" ht="8.1" customHeight="1" x14ac:dyDescent="0.25">
      <c r="A2" s="44"/>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row>
    <row r="3" spans="1:38" ht="36" customHeight="1" x14ac:dyDescent="0.25">
      <c r="A3" s="46" t="s">
        <v>158</v>
      </c>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row>
    <row r="4" spans="1:38" ht="6" customHeight="1" x14ac:dyDescent="0.25"/>
    <row r="5" spans="1:38" ht="20.100000000000001" customHeight="1" x14ac:dyDescent="0.25">
      <c r="A5" s="43" t="s">
        <v>21</v>
      </c>
      <c r="B5" s="43" t="s">
        <v>156</v>
      </c>
      <c r="C5" s="44"/>
      <c r="D5" s="44"/>
      <c r="E5" s="44"/>
      <c r="F5" s="44"/>
      <c r="G5" s="44"/>
      <c r="H5" s="44"/>
      <c r="I5" s="44"/>
      <c r="J5" s="44"/>
      <c r="K5" s="44"/>
      <c r="L5" s="44"/>
      <c r="M5" s="44"/>
      <c r="N5" s="44"/>
      <c r="O5" s="44"/>
      <c r="P5" s="44"/>
      <c r="Q5" s="44"/>
      <c r="R5" s="44"/>
      <c r="S5" s="44"/>
      <c r="T5" s="44"/>
      <c r="U5" s="44"/>
      <c r="V5" s="47" t="s">
        <v>157</v>
      </c>
      <c r="W5" s="44"/>
      <c r="X5" s="44"/>
      <c r="Y5" s="44"/>
      <c r="Z5" s="44"/>
      <c r="AA5" s="44"/>
      <c r="AB5" s="44"/>
      <c r="AC5" s="44"/>
      <c r="AD5" s="44"/>
      <c r="AE5" s="44"/>
      <c r="AF5" s="44"/>
      <c r="AG5" s="44"/>
      <c r="AH5" s="44"/>
      <c r="AI5" s="44"/>
      <c r="AJ5" s="44"/>
      <c r="AK5" s="44"/>
      <c r="AL5" s="44"/>
    </row>
    <row r="6" spans="1:38" ht="20.100000000000001" customHeight="1" x14ac:dyDescent="0.25">
      <c r="A6" s="44"/>
      <c r="B6" s="36" t="s">
        <v>89</v>
      </c>
      <c r="C6" s="36" t="s">
        <v>90</v>
      </c>
      <c r="D6" s="36" t="s">
        <v>91</v>
      </c>
      <c r="E6" s="36" t="s">
        <v>92</v>
      </c>
      <c r="F6" s="36" t="s">
        <v>93</v>
      </c>
      <c r="G6" s="36" t="s">
        <v>94</v>
      </c>
      <c r="H6" s="36" t="s">
        <v>95</v>
      </c>
      <c r="I6" s="36" t="s">
        <v>96</v>
      </c>
      <c r="J6" s="36" t="s">
        <v>97</v>
      </c>
      <c r="K6" s="36" t="s">
        <v>98</v>
      </c>
      <c r="L6" s="36" t="s">
        <v>99</v>
      </c>
      <c r="M6" s="36" t="s">
        <v>100</v>
      </c>
      <c r="N6" s="36" t="s">
        <v>101</v>
      </c>
      <c r="O6" s="36" t="s">
        <v>102</v>
      </c>
      <c r="P6" s="36" t="s">
        <v>103</v>
      </c>
      <c r="Q6" s="36" t="s">
        <v>104</v>
      </c>
      <c r="R6" s="36" t="s">
        <v>105</v>
      </c>
      <c r="S6" s="36" t="s">
        <v>106</v>
      </c>
      <c r="T6" s="36" t="s">
        <v>107</v>
      </c>
      <c r="U6" s="36" t="s">
        <v>22</v>
      </c>
      <c r="V6" s="37" t="s">
        <v>22</v>
      </c>
      <c r="W6" s="37" t="s">
        <v>23</v>
      </c>
      <c r="X6" s="37" t="s">
        <v>24</v>
      </c>
      <c r="Y6" s="37" t="s">
        <v>25</v>
      </c>
      <c r="Z6" s="37" t="s">
        <v>26</v>
      </c>
      <c r="AA6" s="37" t="s">
        <v>27</v>
      </c>
      <c r="AB6" s="37" t="s">
        <v>28</v>
      </c>
      <c r="AC6" s="37" t="s">
        <v>29</v>
      </c>
      <c r="AD6" s="37" t="s">
        <v>30</v>
      </c>
      <c r="AE6" s="37" t="s">
        <v>31</v>
      </c>
      <c r="AF6" s="37" t="s">
        <v>32</v>
      </c>
      <c r="AG6" s="37" t="s">
        <v>33</v>
      </c>
      <c r="AH6" s="37" t="s">
        <v>34</v>
      </c>
      <c r="AI6" s="37" t="s">
        <v>35</v>
      </c>
      <c r="AJ6" s="37" t="s">
        <v>36</v>
      </c>
      <c r="AK6" s="37" t="s">
        <v>37</v>
      </c>
      <c r="AL6" s="37" t="s">
        <v>38</v>
      </c>
    </row>
    <row r="7" spans="1:38" ht="18" customHeight="1" x14ac:dyDescent="0.25">
      <c r="A7" s="38" t="str">
        <f>'Historico_GEIH_2007-2026'!A6</f>
        <v>Bogotá D.C.</v>
      </c>
      <c r="B7" s="65">
        <f>'Historico_GEIH_2007-2026'!B6</f>
        <v>47.8</v>
      </c>
      <c r="C7" s="65">
        <f>'Historico_GEIH_2007-2026'!C6</f>
        <v>47.2</v>
      </c>
      <c r="D7" s="65">
        <f>'Historico_GEIH_2007-2026'!D6</f>
        <v>46.8</v>
      </c>
      <c r="E7" s="65">
        <f>'Historico_GEIH_2007-2026'!E6</f>
        <v>46.1</v>
      </c>
      <c r="F7" s="65">
        <f>'Historico_GEIH_2007-2026'!F6</f>
        <v>45.5</v>
      </c>
      <c r="G7" s="65">
        <f>'Historico_GEIH_2007-2026'!G6</f>
        <v>44.8</v>
      </c>
      <c r="H7" s="65">
        <f>'Historico_GEIH_2007-2026'!H6</f>
        <v>44.2</v>
      </c>
      <c r="I7" s="65">
        <f>'Historico_GEIH_2007-2026'!I6</f>
        <v>44.2</v>
      </c>
      <c r="J7" s="65">
        <f>'Historico_GEIH_2007-2026'!J6</f>
        <v>43.8</v>
      </c>
      <c r="K7" s="65">
        <f>'Historico_GEIH_2007-2026'!K6</f>
        <v>43.5</v>
      </c>
      <c r="L7" s="65">
        <f>'Historico_GEIH_2007-2026'!L6</f>
        <v>43.1</v>
      </c>
      <c r="M7" s="65">
        <f>'Historico_GEIH_2007-2026'!M6</f>
        <v>42.6</v>
      </c>
      <c r="N7" s="65">
        <f>'Historico_GEIH_2007-2026'!N6</f>
        <v>42</v>
      </c>
      <c r="O7" s="65">
        <f>'Historico_GEIH_2007-2026'!O6</f>
        <v>45.8</v>
      </c>
      <c r="P7" s="65">
        <f>'Historico_GEIH_2007-2026'!P6</f>
        <v>44.2</v>
      </c>
      <c r="Q7" s="65">
        <f>'Historico_GEIH_2007-2026'!Q6</f>
        <v>42.9</v>
      </c>
      <c r="R7" s="65">
        <f>'Historico_GEIH_2007-2026'!R6</f>
        <v>42.2</v>
      </c>
      <c r="S7" s="65">
        <f>'Historico_GEIH_2007-2026'!S6</f>
        <v>41.8</v>
      </c>
      <c r="T7" s="65">
        <f>'Historico_GEIH_2007-2026'!T6</f>
        <v>35.4649</v>
      </c>
      <c r="U7" s="65">
        <f>'Historico_GEIH_2007-2026'!U6</f>
        <v>34.039299999999997</v>
      </c>
      <c r="V7" s="65">
        <f>Tasas_Informalidad_Proy!B6</f>
        <v>41.394199999999998</v>
      </c>
      <c r="W7" s="65">
        <f>Tasas_Informalidad_Proy!C6</f>
        <v>41.072000000000003</v>
      </c>
      <c r="X7" s="65">
        <f>Tasas_Informalidad_Proy!D6</f>
        <v>40.752299999999998</v>
      </c>
      <c r="Y7" s="65">
        <f>Tasas_Informalidad_Proy!E6</f>
        <v>40.435099999999998</v>
      </c>
      <c r="Z7" s="65">
        <f>Tasas_Informalidad_Proy!F6</f>
        <v>40.120399999999997</v>
      </c>
      <c r="AA7" s="65">
        <f>Tasas_Informalidad_Proy!G6</f>
        <v>39.808100000000003</v>
      </c>
      <c r="AB7" s="65">
        <f>Tasas_Informalidad_Proy!H6</f>
        <v>39.498199999999997</v>
      </c>
      <c r="AC7" s="65">
        <f>Tasas_Informalidad_Proy!I6</f>
        <v>39.190800000000003</v>
      </c>
      <c r="AD7" s="65">
        <f>Tasas_Informalidad_Proy!J6</f>
        <v>38.8857</v>
      </c>
      <c r="AE7" s="65">
        <f>Tasas_Informalidad_Proy!K6</f>
        <v>38.583100000000002</v>
      </c>
      <c r="AF7" s="65">
        <f>Tasas_Informalidad_Proy!L6</f>
        <v>38.282699999999998</v>
      </c>
      <c r="AG7" s="65">
        <f>Tasas_Informalidad_Proy!M6</f>
        <v>37.9848</v>
      </c>
      <c r="AH7" s="65">
        <f>Tasas_Informalidad_Proy!N6</f>
        <v>37.689100000000003</v>
      </c>
      <c r="AI7" s="65">
        <f>Tasas_Informalidad_Proy!O6</f>
        <v>37.395800000000001</v>
      </c>
      <c r="AJ7" s="65">
        <f>Tasas_Informalidad_Proy!P6</f>
        <v>37.104700000000001</v>
      </c>
      <c r="AK7" s="65">
        <f>Tasas_Informalidad_Proy!Q6</f>
        <v>36.815899999999999</v>
      </c>
      <c r="AL7" s="65">
        <f>Tasas_Informalidad_Proy!R6</f>
        <v>36.529299999999999</v>
      </c>
    </row>
    <row r="8" spans="1:38" ht="18" customHeight="1" x14ac:dyDescent="0.25">
      <c r="A8" s="39" t="str">
        <f>'Historico_GEIH_2007-2026'!A7</f>
        <v>Medellín</v>
      </c>
      <c r="B8" s="66">
        <f>'Historico_GEIH_2007-2026'!B7</f>
        <v>50.2</v>
      </c>
      <c r="C8" s="66">
        <f>'Historico_GEIH_2007-2026'!C7</f>
        <v>49.5</v>
      </c>
      <c r="D8" s="66">
        <f>'Historico_GEIH_2007-2026'!D7</f>
        <v>48.8</v>
      </c>
      <c r="E8" s="66">
        <f>'Historico_GEIH_2007-2026'!E7</f>
        <v>47.9</v>
      </c>
      <c r="F8" s="66">
        <f>'Historico_GEIH_2007-2026'!F7</f>
        <v>47.1</v>
      </c>
      <c r="G8" s="66">
        <f>'Historico_GEIH_2007-2026'!G7</f>
        <v>46.2</v>
      </c>
      <c r="H8" s="66">
        <f>'Historico_GEIH_2007-2026'!H7</f>
        <v>45.3</v>
      </c>
      <c r="I8" s="66">
        <f>'Historico_GEIH_2007-2026'!I7</f>
        <v>44.9</v>
      </c>
      <c r="J8" s="66">
        <f>'Historico_GEIH_2007-2026'!J7</f>
        <v>44.5</v>
      </c>
      <c r="K8" s="66">
        <f>'Historico_GEIH_2007-2026'!K7</f>
        <v>44.1</v>
      </c>
      <c r="L8" s="66">
        <f>'Historico_GEIH_2007-2026'!L7</f>
        <v>43.5</v>
      </c>
      <c r="M8" s="66">
        <f>'Historico_GEIH_2007-2026'!M7</f>
        <v>43.2</v>
      </c>
      <c r="N8" s="66">
        <f>'Historico_GEIH_2007-2026'!N7</f>
        <v>42.7</v>
      </c>
      <c r="O8" s="66">
        <f>'Historico_GEIH_2007-2026'!O7</f>
        <v>46.5</v>
      </c>
      <c r="P8" s="66">
        <f>'Historico_GEIH_2007-2026'!P7</f>
        <v>45.1</v>
      </c>
      <c r="Q8" s="66">
        <f>'Historico_GEIH_2007-2026'!Q7</f>
        <v>43.8</v>
      </c>
      <c r="R8" s="66">
        <f>'Historico_GEIH_2007-2026'!R7</f>
        <v>43.1</v>
      </c>
      <c r="S8" s="66">
        <f>'Historico_GEIH_2007-2026'!S7</f>
        <v>42.5</v>
      </c>
      <c r="T8" s="66">
        <f>'Historico_GEIH_2007-2026'!T7</f>
        <v>38.7395</v>
      </c>
      <c r="U8" s="66">
        <f>'Historico_GEIH_2007-2026'!U7</f>
        <v>38.431800000000003</v>
      </c>
      <c r="V8" s="66">
        <f>Tasas_Informalidad_Proy!B7</f>
        <v>41.671300000000002</v>
      </c>
      <c r="W8" s="66">
        <f>Tasas_Informalidad_Proy!C7</f>
        <v>41.261600000000001</v>
      </c>
      <c r="X8" s="66">
        <f>Tasas_Informalidad_Proy!D7</f>
        <v>40.856099999999998</v>
      </c>
      <c r="Y8" s="66">
        <f>Tasas_Informalidad_Proy!E7</f>
        <v>40.454500000000003</v>
      </c>
      <c r="Z8" s="66">
        <f>Tasas_Informalidad_Proy!F7</f>
        <v>40.056800000000003</v>
      </c>
      <c r="AA8" s="66">
        <f>Tasas_Informalidad_Proy!G7</f>
        <v>39.6631</v>
      </c>
      <c r="AB8" s="66">
        <f>Tasas_Informalidad_Proy!H7</f>
        <v>39.273200000000003</v>
      </c>
      <c r="AC8" s="66">
        <f>Tasas_Informalidad_Proy!I7</f>
        <v>38.887099999999997</v>
      </c>
      <c r="AD8" s="66">
        <f>Tasas_Informalidad_Proy!J7</f>
        <v>38.504899999999999</v>
      </c>
      <c r="AE8" s="66">
        <f>Tasas_Informalidad_Proy!K7</f>
        <v>38.126399999999997</v>
      </c>
      <c r="AF8" s="66">
        <f>Tasas_Informalidad_Proy!L7</f>
        <v>37.751600000000003</v>
      </c>
      <c r="AG8" s="66">
        <f>Tasas_Informalidad_Proy!M7</f>
        <v>37.380499999999998</v>
      </c>
      <c r="AH8" s="66">
        <f>Tasas_Informalidad_Proy!N7</f>
        <v>37.013100000000001</v>
      </c>
      <c r="AI8" s="66">
        <f>Tasas_Informalidad_Proy!O7</f>
        <v>36.649299999999997</v>
      </c>
      <c r="AJ8" s="66">
        <f>Tasas_Informalidad_Proy!P7</f>
        <v>36.289000000000001</v>
      </c>
      <c r="AK8" s="66">
        <f>Tasas_Informalidad_Proy!Q7</f>
        <v>35.932299999999998</v>
      </c>
      <c r="AL8" s="66">
        <f>Tasas_Informalidad_Proy!R7</f>
        <v>35.579099999999997</v>
      </c>
    </row>
    <row r="9" spans="1:38" ht="18" customHeight="1" x14ac:dyDescent="0.25">
      <c r="A9" s="38" t="str">
        <f>'Historico_GEIH_2007-2026'!A8</f>
        <v>Cali</v>
      </c>
      <c r="B9" s="65">
        <f>'Historico_GEIH_2007-2026'!B8</f>
        <v>56.5</v>
      </c>
      <c r="C9" s="65">
        <f>'Historico_GEIH_2007-2026'!C8</f>
        <v>55.8</v>
      </c>
      <c r="D9" s="65">
        <f>'Historico_GEIH_2007-2026'!D8</f>
        <v>55.1</v>
      </c>
      <c r="E9" s="65">
        <f>'Historico_GEIH_2007-2026'!E8</f>
        <v>54.5</v>
      </c>
      <c r="F9" s="65">
        <f>'Historico_GEIH_2007-2026'!F8</f>
        <v>53.8</v>
      </c>
      <c r="G9" s="65">
        <f>'Historico_GEIH_2007-2026'!G8</f>
        <v>53.1</v>
      </c>
      <c r="H9" s="65">
        <f>'Historico_GEIH_2007-2026'!H8</f>
        <v>52.5</v>
      </c>
      <c r="I9" s="65">
        <f>'Historico_GEIH_2007-2026'!I8</f>
        <v>52.2</v>
      </c>
      <c r="J9" s="65">
        <f>'Historico_GEIH_2007-2026'!J8</f>
        <v>51.9</v>
      </c>
      <c r="K9" s="65">
        <f>'Historico_GEIH_2007-2026'!K8</f>
        <v>51.4</v>
      </c>
      <c r="L9" s="65">
        <f>'Historico_GEIH_2007-2026'!L8</f>
        <v>50.8</v>
      </c>
      <c r="M9" s="65">
        <f>'Historico_GEIH_2007-2026'!M8</f>
        <v>50.3</v>
      </c>
      <c r="N9" s="65">
        <f>'Historico_GEIH_2007-2026'!N8</f>
        <v>49.7</v>
      </c>
      <c r="O9" s="65">
        <f>'Historico_GEIH_2007-2026'!O8</f>
        <v>53.2</v>
      </c>
      <c r="P9" s="65">
        <f>'Historico_GEIH_2007-2026'!P8</f>
        <v>51.8</v>
      </c>
      <c r="Q9" s="65">
        <f>'Historico_GEIH_2007-2026'!Q8</f>
        <v>50.4</v>
      </c>
      <c r="R9" s="65">
        <f>'Historico_GEIH_2007-2026'!R8</f>
        <v>49.7</v>
      </c>
      <c r="S9" s="65">
        <f>'Historico_GEIH_2007-2026'!S8</f>
        <v>49.1</v>
      </c>
      <c r="T9" s="65">
        <f>'Historico_GEIH_2007-2026'!T8</f>
        <v>46.460500000000003</v>
      </c>
      <c r="U9" s="65">
        <f>'Historico_GEIH_2007-2026'!U8</f>
        <v>47.0456</v>
      </c>
      <c r="V9" s="65">
        <f>Tasas_Informalidad_Proy!B8</f>
        <v>48.813600000000001</v>
      </c>
      <c r="W9" s="65">
        <f>Tasas_Informalidad_Proy!C8</f>
        <v>48.432699999999997</v>
      </c>
      <c r="X9" s="65">
        <f>Tasas_Informalidad_Proy!D8</f>
        <v>48.0548</v>
      </c>
      <c r="Y9" s="65">
        <f>Tasas_Informalidad_Proy!E8</f>
        <v>47.6798</v>
      </c>
      <c r="Z9" s="65">
        <f>Tasas_Informalidad_Proy!F8</f>
        <v>47.3078</v>
      </c>
      <c r="AA9" s="65">
        <f>Tasas_Informalidad_Proy!G8</f>
        <v>46.938600000000001</v>
      </c>
      <c r="AB9" s="65">
        <f>Tasas_Informalidad_Proy!H8</f>
        <v>46.572400000000002</v>
      </c>
      <c r="AC9" s="65">
        <f>Tasas_Informalidad_Proy!I8</f>
        <v>46.209000000000003</v>
      </c>
      <c r="AD9" s="65">
        <f>Tasas_Informalidad_Proy!J8</f>
        <v>45.848399999999998</v>
      </c>
      <c r="AE9" s="65">
        <f>Tasas_Informalidad_Proy!K8</f>
        <v>45.490600000000001</v>
      </c>
      <c r="AF9" s="65">
        <f>Tasas_Informalidad_Proy!L8</f>
        <v>45.135599999999997</v>
      </c>
      <c r="AG9" s="65">
        <f>Tasas_Informalidad_Proy!M8</f>
        <v>44.783499999999997</v>
      </c>
      <c r="AH9" s="65">
        <f>Tasas_Informalidad_Proy!N8</f>
        <v>44.433999999999997</v>
      </c>
      <c r="AI9" s="65">
        <f>Tasas_Informalidad_Proy!O8</f>
        <v>44.087299999999999</v>
      </c>
      <c r="AJ9" s="65">
        <f>Tasas_Informalidad_Proy!P8</f>
        <v>43.743299999999998</v>
      </c>
      <c r="AK9" s="65">
        <f>Tasas_Informalidad_Proy!Q8</f>
        <v>43.401899999999998</v>
      </c>
      <c r="AL9" s="65">
        <f>Tasas_Informalidad_Proy!R8</f>
        <v>43.063299999999998</v>
      </c>
    </row>
    <row r="10" spans="1:38" ht="18" customHeight="1" x14ac:dyDescent="0.25">
      <c r="A10" s="39" t="str">
        <f>'Historico_GEIH_2007-2026'!A9</f>
        <v>Barranquilla</v>
      </c>
      <c r="B10" s="66">
        <f>'Historico_GEIH_2007-2026'!B9</f>
        <v>61.9</v>
      </c>
      <c r="C10" s="66">
        <f>'Historico_GEIH_2007-2026'!C9</f>
        <v>61.2</v>
      </c>
      <c r="D10" s="66">
        <f>'Historico_GEIH_2007-2026'!D9</f>
        <v>60.5</v>
      </c>
      <c r="E10" s="66">
        <f>'Historico_GEIH_2007-2026'!E9</f>
        <v>59.8</v>
      </c>
      <c r="F10" s="66">
        <f>'Historico_GEIH_2007-2026'!F9</f>
        <v>59.2</v>
      </c>
      <c r="G10" s="66">
        <f>'Historico_GEIH_2007-2026'!G9</f>
        <v>58.4</v>
      </c>
      <c r="H10" s="66">
        <f>'Historico_GEIH_2007-2026'!H9</f>
        <v>57.9</v>
      </c>
      <c r="I10" s="66">
        <f>'Historico_GEIH_2007-2026'!I9</f>
        <v>57.8</v>
      </c>
      <c r="J10" s="66">
        <f>'Historico_GEIH_2007-2026'!J9</f>
        <v>57.5</v>
      </c>
      <c r="K10" s="66">
        <f>'Historico_GEIH_2007-2026'!K9</f>
        <v>57.1</v>
      </c>
      <c r="L10" s="66">
        <f>'Historico_GEIH_2007-2026'!L9</f>
        <v>56.7</v>
      </c>
      <c r="M10" s="66">
        <f>'Historico_GEIH_2007-2026'!M9</f>
        <v>56.2</v>
      </c>
      <c r="N10" s="66">
        <f>'Historico_GEIH_2007-2026'!N9</f>
        <v>55.8</v>
      </c>
      <c r="O10" s="66">
        <f>'Historico_GEIH_2007-2026'!O9</f>
        <v>59.5</v>
      </c>
      <c r="P10" s="66">
        <f>'Historico_GEIH_2007-2026'!P9</f>
        <v>58.3</v>
      </c>
      <c r="Q10" s="66">
        <f>'Historico_GEIH_2007-2026'!Q9</f>
        <v>57</v>
      </c>
      <c r="R10" s="66">
        <f>'Historico_GEIH_2007-2026'!R9</f>
        <v>56.4</v>
      </c>
      <c r="S10" s="66">
        <f>'Historico_GEIH_2007-2026'!S9</f>
        <v>55.9</v>
      </c>
      <c r="T10" s="66">
        <f>'Historico_GEIH_2007-2026'!T9</f>
        <v>52.732199999999999</v>
      </c>
      <c r="U10" s="66">
        <f>'Historico_GEIH_2007-2026'!U9</f>
        <v>51.612099999999998</v>
      </c>
      <c r="V10" s="66">
        <f>Tasas_Informalidad_Proy!B9</f>
        <v>55.180399999999999</v>
      </c>
      <c r="W10" s="66">
        <f>Tasas_Informalidad_Proy!C9</f>
        <v>54.851599999999998</v>
      </c>
      <c r="X10" s="66">
        <f>Tasas_Informalidad_Proy!D9</f>
        <v>54.524799999999999</v>
      </c>
      <c r="Y10" s="66">
        <f>Tasas_Informalidad_Proy!E9</f>
        <v>54.1999</v>
      </c>
      <c r="Z10" s="66">
        <f>Tasas_Informalidad_Proy!F9</f>
        <v>53.876899999999999</v>
      </c>
      <c r="AA10" s="66">
        <f>Tasas_Informalidad_Proy!G9</f>
        <v>53.555799999999998</v>
      </c>
      <c r="AB10" s="66">
        <f>Tasas_Informalidad_Proy!H9</f>
        <v>53.236699999999999</v>
      </c>
      <c r="AC10" s="66">
        <f>Tasas_Informalidad_Proy!I9</f>
        <v>52.919499999999999</v>
      </c>
      <c r="AD10" s="66">
        <f>Tasas_Informalidad_Proy!J9</f>
        <v>52.604100000000003</v>
      </c>
      <c r="AE10" s="66">
        <f>Tasas_Informalidad_Proy!K9</f>
        <v>52.290700000000001</v>
      </c>
      <c r="AF10" s="66">
        <f>Tasas_Informalidad_Proy!L9</f>
        <v>51.979100000000003</v>
      </c>
      <c r="AG10" s="66">
        <f>Tasas_Informalidad_Proy!M9</f>
        <v>51.6693</v>
      </c>
      <c r="AH10" s="66">
        <f>Tasas_Informalidad_Proy!N9</f>
        <v>51.361400000000003</v>
      </c>
      <c r="AI10" s="66">
        <f>Tasas_Informalidad_Proy!O9</f>
        <v>51.055399999999999</v>
      </c>
      <c r="AJ10" s="66">
        <f>Tasas_Informalidad_Proy!P9</f>
        <v>50.751100000000001</v>
      </c>
      <c r="AK10" s="66">
        <f>Tasas_Informalidad_Proy!Q9</f>
        <v>50.448700000000002</v>
      </c>
      <c r="AL10" s="66">
        <f>Tasas_Informalidad_Proy!R9</f>
        <v>50.148099999999999</v>
      </c>
    </row>
    <row r="11" spans="1:38" ht="18" customHeight="1" x14ac:dyDescent="0.25">
      <c r="A11" s="38" t="str">
        <f>'Historico_GEIH_2007-2026'!A10</f>
        <v>Bucaramanga</v>
      </c>
      <c r="B11" s="65">
        <f>'Historico_GEIH_2007-2026'!B10</f>
        <v>69.2</v>
      </c>
      <c r="C11" s="65">
        <f>'Historico_GEIH_2007-2026'!C10</f>
        <v>68.5</v>
      </c>
      <c r="D11" s="65">
        <f>'Historico_GEIH_2007-2026'!D10</f>
        <v>67.8</v>
      </c>
      <c r="E11" s="65">
        <f>'Historico_GEIH_2007-2026'!E10</f>
        <v>67.099999999999994</v>
      </c>
      <c r="F11" s="65">
        <f>'Historico_GEIH_2007-2026'!F10</f>
        <v>66.400000000000006</v>
      </c>
      <c r="G11" s="65">
        <f>'Historico_GEIH_2007-2026'!G10</f>
        <v>65.5</v>
      </c>
      <c r="H11" s="65">
        <f>'Historico_GEIH_2007-2026'!H10</f>
        <v>64.8</v>
      </c>
      <c r="I11" s="65">
        <f>'Historico_GEIH_2007-2026'!I10</f>
        <v>64.2</v>
      </c>
      <c r="J11" s="65">
        <f>'Historico_GEIH_2007-2026'!J10</f>
        <v>63.8</v>
      </c>
      <c r="K11" s="65">
        <f>'Historico_GEIH_2007-2026'!K10</f>
        <v>63.2</v>
      </c>
      <c r="L11" s="65">
        <f>'Historico_GEIH_2007-2026'!L10</f>
        <v>62.8</v>
      </c>
      <c r="M11" s="65">
        <f>'Historico_GEIH_2007-2026'!M10</f>
        <v>62.4</v>
      </c>
      <c r="N11" s="65">
        <f>'Historico_GEIH_2007-2026'!N10</f>
        <v>61.8</v>
      </c>
      <c r="O11" s="65">
        <f>'Historico_GEIH_2007-2026'!O10</f>
        <v>65.5</v>
      </c>
      <c r="P11" s="65">
        <f>'Historico_GEIH_2007-2026'!P10</f>
        <v>64.5</v>
      </c>
      <c r="Q11" s="65">
        <f>'Historico_GEIH_2007-2026'!Q10</f>
        <v>63.3</v>
      </c>
      <c r="R11" s="65">
        <f>'Historico_GEIH_2007-2026'!R10</f>
        <v>62.5</v>
      </c>
      <c r="S11" s="65">
        <f>'Historico_GEIH_2007-2026'!S10</f>
        <v>62</v>
      </c>
      <c r="T11" s="65">
        <f>'Historico_GEIH_2007-2026'!T10</f>
        <v>45.719700000000003</v>
      </c>
      <c r="U11" s="65">
        <f>'Historico_GEIH_2007-2026'!U10</f>
        <v>42.695700000000002</v>
      </c>
      <c r="V11" s="65">
        <f>Tasas_Informalidad_Proy!B10</f>
        <v>61.030500000000004</v>
      </c>
      <c r="W11" s="65">
        <f>Tasas_Informalidad_Proy!C10</f>
        <v>60.6248</v>
      </c>
      <c r="X11" s="65">
        <f>Tasas_Informalidad_Proy!D10</f>
        <v>60.221800000000002</v>
      </c>
      <c r="Y11" s="65">
        <f>Tasas_Informalidad_Proy!E10</f>
        <v>59.8215</v>
      </c>
      <c r="Z11" s="65">
        <f>Tasas_Informalidad_Proy!F10</f>
        <v>59.4238</v>
      </c>
      <c r="AA11" s="65">
        <f>Tasas_Informalidad_Proy!G10</f>
        <v>59.028799999999997</v>
      </c>
      <c r="AB11" s="65">
        <f>Tasas_Informalidad_Proy!H10</f>
        <v>58.636400000000002</v>
      </c>
      <c r="AC11" s="65">
        <f>Tasas_Informalidad_Proy!I10</f>
        <v>58.246600000000001</v>
      </c>
      <c r="AD11" s="65">
        <f>Tasas_Informalidad_Proy!J10</f>
        <v>57.859299999999998</v>
      </c>
      <c r="AE11" s="65">
        <f>Tasas_Informalidad_Proy!K10</f>
        <v>57.474699999999999</v>
      </c>
      <c r="AF11" s="65">
        <f>Tasas_Informalidad_Proy!L10</f>
        <v>57.092599999999997</v>
      </c>
      <c r="AG11" s="65">
        <f>Tasas_Informalidad_Proy!M10</f>
        <v>56.713099999999997</v>
      </c>
      <c r="AH11" s="65">
        <f>Tasas_Informalidad_Proy!N10</f>
        <v>56.336100000000002</v>
      </c>
      <c r="AI11" s="65">
        <f>Tasas_Informalidad_Proy!O10</f>
        <v>55.961599999999997</v>
      </c>
      <c r="AJ11" s="65">
        <f>Tasas_Informalidad_Proy!P10</f>
        <v>55.589599999999997</v>
      </c>
      <c r="AK11" s="65">
        <f>Tasas_Informalidad_Proy!Q10</f>
        <v>55.22</v>
      </c>
      <c r="AL11" s="65">
        <f>Tasas_Informalidad_Proy!R10</f>
        <v>54.852899999999998</v>
      </c>
    </row>
    <row r="12" spans="1:38" ht="18" customHeight="1" x14ac:dyDescent="0.25">
      <c r="A12" s="39" t="str">
        <f>'Historico_GEIH_2007-2026'!A11</f>
        <v>Manizales</v>
      </c>
      <c r="B12" s="66">
        <f>'Historico_GEIH_2007-2026'!B11</f>
        <v>56.1</v>
      </c>
      <c r="C12" s="66">
        <f>'Historico_GEIH_2007-2026'!C11</f>
        <v>55.4</v>
      </c>
      <c r="D12" s="66">
        <f>'Historico_GEIH_2007-2026'!D11</f>
        <v>54.7</v>
      </c>
      <c r="E12" s="66">
        <f>'Historico_GEIH_2007-2026'!E11</f>
        <v>54.1</v>
      </c>
      <c r="F12" s="66">
        <f>'Historico_GEIH_2007-2026'!F11</f>
        <v>53.4</v>
      </c>
      <c r="G12" s="66">
        <f>'Historico_GEIH_2007-2026'!G11</f>
        <v>52.6</v>
      </c>
      <c r="H12" s="66">
        <f>'Historico_GEIH_2007-2026'!H11</f>
        <v>52.1</v>
      </c>
      <c r="I12" s="66">
        <f>'Historico_GEIH_2007-2026'!I11</f>
        <v>51.8</v>
      </c>
      <c r="J12" s="66">
        <f>'Historico_GEIH_2007-2026'!J11</f>
        <v>51.5</v>
      </c>
      <c r="K12" s="66">
        <f>'Historico_GEIH_2007-2026'!K11</f>
        <v>51</v>
      </c>
      <c r="L12" s="66">
        <f>'Historico_GEIH_2007-2026'!L11</f>
        <v>50.5</v>
      </c>
      <c r="M12" s="66">
        <f>'Historico_GEIH_2007-2026'!M11</f>
        <v>49.9</v>
      </c>
      <c r="N12" s="66">
        <f>'Historico_GEIH_2007-2026'!N11</f>
        <v>49.4</v>
      </c>
      <c r="O12" s="66">
        <f>'Historico_GEIH_2007-2026'!O11</f>
        <v>52.8</v>
      </c>
      <c r="P12" s="66">
        <f>'Historico_GEIH_2007-2026'!P11</f>
        <v>51.5</v>
      </c>
      <c r="Q12" s="66">
        <f>'Historico_GEIH_2007-2026'!Q11</f>
        <v>50.4</v>
      </c>
      <c r="R12" s="66">
        <f>'Historico_GEIH_2007-2026'!R11</f>
        <v>49.5</v>
      </c>
      <c r="S12" s="66">
        <f>'Historico_GEIH_2007-2026'!S11</f>
        <v>49.1</v>
      </c>
      <c r="T12" s="66">
        <f>'Historico_GEIH_2007-2026'!T11</f>
        <v>36.834899999999998</v>
      </c>
      <c r="U12" s="66">
        <f>'Historico_GEIH_2007-2026'!U11</f>
        <v>35.131799999999998</v>
      </c>
      <c r="V12" s="66">
        <f>Tasas_Informalidad_Proy!B11</f>
        <v>48.596299999999999</v>
      </c>
      <c r="W12" s="66">
        <f>Tasas_Informalidad_Proy!C11</f>
        <v>48.227400000000003</v>
      </c>
      <c r="X12" s="66">
        <f>Tasas_Informalidad_Proy!D11</f>
        <v>47.861400000000003</v>
      </c>
      <c r="Y12" s="66">
        <f>Tasas_Informalidad_Proy!E11</f>
        <v>47.498100000000001</v>
      </c>
      <c r="Z12" s="66">
        <f>Tasas_Informalidad_Proy!F11</f>
        <v>47.137500000000003</v>
      </c>
      <c r="AA12" s="66">
        <f>Tasas_Informalidad_Proy!G11</f>
        <v>46.779699999999998</v>
      </c>
      <c r="AB12" s="66">
        <f>Tasas_Informalidad_Proy!H11</f>
        <v>46.424700000000001</v>
      </c>
      <c r="AC12" s="66">
        <f>Tasas_Informalidad_Proy!I11</f>
        <v>46.072299999999998</v>
      </c>
      <c r="AD12" s="66">
        <f>Tasas_Informalidad_Proy!J11</f>
        <v>45.7226</v>
      </c>
      <c r="AE12" s="66">
        <f>Tasas_Informalidad_Proy!K11</f>
        <v>45.375500000000002</v>
      </c>
      <c r="AF12" s="66">
        <f>Tasas_Informalidad_Proy!L11</f>
        <v>45.031100000000002</v>
      </c>
      <c r="AG12" s="66">
        <f>Tasas_Informalidad_Proy!M11</f>
        <v>44.689300000000003</v>
      </c>
      <c r="AH12" s="66">
        <f>Tasas_Informalidad_Proy!N11</f>
        <v>44.350099999999998</v>
      </c>
      <c r="AI12" s="66">
        <f>Tasas_Informalidad_Proy!O11</f>
        <v>44.013500000000001</v>
      </c>
      <c r="AJ12" s="66">
        <f>Tasas_Informalidad_Proy!P11</f>
        <v>43.679400000000001</v>
      </c>
      <c r="AK12" s="66">
        <f>Tasas_Informalidad_Proy!Q11</f>
        <v>43.347799999999999</v>
      </c>
      <c r="AL12" s="66">
        <f>Tasas_Informalidad_Proy!R11</f>
        <v>43.018799999999999</v>
      </c>
    </row>
    <row r="13" spans="1:38" ht="18" customHeight="1" x14ac:dyDescent="0.25">
      <c r="A13" s="38" t="str">
        <f>'Historico_GEIH_2007-2026'!A12</f>
        <v>Pasto</v>
      </c>
      <c r="B13" s="65">
        <f>'Historico_GEIH_2007-2026'!B12</f>
        <v>73.8</v>
      </c>
      <c r="C13" s="65">
        <f>'Historico_GEIH_2007-2026'!C12</f>
        <v>73.099999999999994</v>
      </c>
      <c r="D13" s="65">
        <f>'Historico_GEIH_2007-2026'!D12</f>
        <v>72.5</v>
      </c>
      <c r="E13" s="65">
        <f>'Historico_GEIH_2007-2026'!E12</f>
        <v>72</v>
      </c>
      <c r="F13" s="65">
        <f>'Historico_GEIH_2007-2026'!F12</f>
        <v>71.400000000000006</v>
      </c>
      <c r="G13" s="65">
        <f>'Historico_GEIH_2007-2026'!G12</f>
        <v>70.5</v>
      </c>
      <c r="H13" s="65">
        <f>'Historico_GEIH_2007-2026'!H12</f>
        <v>70.2</v>
      </c>
      <c r="I13" s="65">
        <f>'Historico_GEIH_2007-2026'!I12</f>
        <v>70.099999999999994</v>
      </c>
      <c r="J13" s="65">
        <f>'Historico_GEIH_2007-2026'!J12</f>
        <v>69.900000000000006</v>
      </c>
      <c r="K13" s="65">
        <f>'Historico_GEIH_2007-2026'!K12</f>
        <v>69.599999999999994</v>
      </c>
      <c r="L13" s="65">
        <f>'Historico_GEIH_2007-2026'!L12</f>
        <v>69.2</v>
      </c>
      <c r="M13" s="65">
        <f>'Historico_GEIH_2007-2026'!M12</f>
        <v>68.900000000000006</v>
      </c>
      <c r="N13" s="65">
        <f>'Historico_GEIH_2007-2026'!N12</f>
        <v>68.5</v>
      </c>
      <c r="O13" s="65">
        <f>'Historico_GEIH_2007-2026'!O12</f>
        <v>71.8</v>
      </c>
      <c r="P13" s="65">
        <f>'Historico_GEIH_2007-2026'!P12</f>
        <v>70.8</v>
      </c>
      <c r="Q13" s="65">
        <f>'Historico_GEIH_2007-2026'!Q12</f>
        <v>69.7</v>
      </c>
      <c r="R13" s="65">
        <f>'Historico_GEIH_2007-2026'!R12</f>
        <v>68.8</v>
      </c>
      <c r="S13" s="65">
        <f>'Historico_GEIH_2007-2026'!S12</f>
        <v>68.400000000000006</v>
      </c>
      <c r="T13" s="65">
        <f>'Historico_GEIH_2007-2026'!T12</f>
        <v>56.537100000000002</v>
      </c>
      <c r="U13" s="65">
        <f>'Historico_GEIH_2007-2026'!U12</f>
        <v>54.488100000000003</v>
      </c>
      <c r="V13" s="65">
        <f>Tasas_Informalidad_Proy!B12</f>
        <v>67.875399999999999</v>
      </c>
      <c r="W13" s="65">
        <f>Tasas_Informalidad_Proy!C12</f>
        <v>67.582599999999999</v>
      </c>
      <c r="X13" s="65">
        <f>Tasas_Informalidad_Proy!D12</f>
        <v>67.2911</v>
      </c>
      <c r="Y13" s="65">
        <f>Tasas_Informalidad_Proy!E12</f>
        <v>67.000799999999998</v>
      </c>
      <c r="Z13" s="65">
        <f>Tasas_Informalidad_Proy!F12</f>
        <v>66.711799999999997</v>
      </c>
      <c r="AA13" s="65">
        <f>Tasas_Informalidad_Proy!G12</f>
        <v>66.424099999999996</v>
      </c>
      <c r="AB13" s="65">
        <f>Tasas_Informalidad_Proy!H12</f>
        <v>66.137600000000006</v>
      </c>
      <c r="AC13" s="65">
        <f>Tasas_Informalidad_Proy!I12</f>
        <v>65.8523</v>
      </c>
      <c r="AD13" s="65">
        <f>Tasas_Informalidad_Proy!J12</f>
        <v>65.568200000000004</v>
      </c>
      <c r="AE13" s="65">
        <f>Tasas_Informalidad_Proy!K12</f>
        <v>65.285399999999996</v>
      </c>
      <c r="AF13" s="65">
        <f>Tasas_Informalidad_Proy!L12</f>
        <v>65.003799999999998</v>
      </c>
      <c r="AG13" s="65">
        <f>Tasas_Informalidad_Proy!M12</f>
        <v>64.723399999999998</v>
      </c>
      <c r="AH13" s="65">
        <f>Tasas_Informalidad_Proy!N12</f>
        <v>64.444199999999995</v>
      </c>
      <c r="AI13" s="65">
        <f>Tasas_Informalidad_Proy!O12</f>
        <v>64.166200000000003</v>
      </c>
      <c r="AJ13" s="65">
        <f>Tasas_Informalidad_Proy!P12</f>
        <v>63.889400000000002</v>
      </c>
      <c r="AK13" s="65">
        <f>Tasas_Informalidad_Proy!Q12</f>
        <v>63.613900000000001</v>
      </c>
      <c r="AL13" s="65">
        <f>Tasas_Informalidad_Proy!R12</f>
        <v>63.339500000000001</v>
      </c>
    </row>
    <row r="14" spans="1:38" ht="18" customHeight="1" x14ac:dyDescent="0.25">
      <c r="A14" s="39" t="str">
        <f>'Historico_GEIH_2007-2026'!A13</f>
        <v>Pereira</v>
      </c>
      <c r="B14" s="66">
        <f>'Historico_GEIH_2007-2026'!B13</f>
        <v>63.5</v>
      </c>
      <c r="C14" s="66">
        <f>'Historico_GEIH_2007-2026'!C13</f>
        <v>62.8</v>
      </c>
      <c r="D14" s="66">
        <f>'Historico_GEIH_2007-2026'!D13</f>
        <v>62.1</v>
      </c>
      <c r="E14" s="66">
        <f>'Historico_GEIH_2007-2026'!E13</f>
        <v>61.5</v>
      </c>
      <c r="F14" s="66">
        <f>'Historico_GEIH_2007-2026'!F13</f>
        <v>60.8</v>
      </c>
      <c r="G14" s="66">
        <f>'Historico_GEIH_2007-2026'!G13</f>
        <v>60</v>
      </c>
      <c r="H14" s="66">
        <f>'Historico_GEIH_2007-2026'!H13</f>
        <v>59.5</v>
      </c>
      <c r="I14" s="66">
        <f>'Historico_GEIH_2007-2026'!I13</f>
        <v>59.3</v>
      </c>
      <c r="J14" s="66">
        <f>'Historico_GEIH_2007-2026'!J13</f>
        <v>59</v>
      </c>
      <c r="K14" s="66">
        <f>'Historico_GEIH_2007-2026'!K13</f>
        <v>58.5</v>
      </c>
      <c r="L14" s="66">
        <f>'Historico_GEIH_2007-2026'!L13</f>
        <v>58</v>
      </c>
      <c r="M14" s="66">
        <f>'Historico_GEIH_2007-2026'!M13</f>
        <v>57.5</v>
      </c>
      <c r="N14" s="66">
        <f>'Historico_GEIH_2007-2026'!N13</f>
        <v>57</v>
      </c>
      <c r="O14" s="66">
        <f>'Historico_GEIH_2007-2026'!O13</f>
        <v>61</v>
      </c>
      <c r="P14" s="66">
        <f>'Historico_GEIH_2007-2026'!P13</f>
        <v>59.8</v>
      </c>
      <c r="Q14" s="66">
        <f>'Historico_GEIH_2007-2026'!Q13</f>
        <v>58.6</v>
      </c>
      <c r="R14" s="66">
        <f>'Historico_GEIH_2007-2026'!R13</f>
        <v>57.8</v>
      </c>
      <c r="S14" s="66">
        <f>'Historico_GEIH_2007-2026'!S13</f>
        <v>57.3</v>
      </c>
      <c r="T14" s="66">
        <f>'Historico_GEIH_2007-2026'!T13</f>
        <v>40.6873</v>
      </c>
      <c r="U14" s="66">
        <f>'Historico_GEIH_2007-2026'!U13</f>
        <v>39.333199999999998</v>
      </c>
      <c r="V14" s="66">
        <f>Tasas_Informalidad_Proy!B13</f>
        <v>56.505600000000001</v>
      </c>
      <c r="W14" s="66">
        <f>Tasas_Informalidad_Proy!C13</f>
        <v>56.1586</v>
      </c>
      <c r="X14" s="66">
        <f>Tasas_Informalidad_Proy!D13</f>
        <v>55.813800000000001</v>
      </c>
      <c r="Y14" s="66">
        <f>Tasas_Informalidad_Proy!E13</f>
        <v>55.470999999999997</v>
      </c>
      <c r="Z14" s="66">
        <f>Tasas_Informalidad_Proy!F13</f>
        <v>55.130299999999998</v>
      </c>
      <c r="AA14" s="66">
        <f>Tasas_Informalidad_Proy!G13</f>
        <v>54.791800000000002</v>
      </c>
      <c r="AB14" s="66">
        <f>Tasas_Informalidad_Proy!H13</f>
        <v>54.455300000000001</v>
      </c>
      <c r="AC14" s="66">
        <f>Tasas_Informalidad_Proy!I13</f>
        <v>54.120899999999999</v>
      </c>
      <c r="AD14" s="66">
        <f>Tasas_Informalidad_Proy!J13</f>
        <v>53.788499999999999</v>
      </c>
      <c r="AE14" s="66">
        <f>Tasas_Informalidad_Proy!K13</f>
        <v>53.458199999999998</v>
      </c>
      <c r="AF14" s="66">
        <f>Tasas_Informalidad_Proy!L13</f>
        <v>53.129899999999999</v>
      </c>
      <c r="AG14" s="66">
        <f>Tasas_Informalidad_Proy!M13</f>
        <v>52.803600000000003</v>
      </c>
      <c r="AH14" s="66">
        <f>Tasas_Informalidad_Proy!N13</f>
        <v>52.479300000000002</v>
      </c>
      <c r="AI14" s="66">
        <f>Tasas_Informalidad_Proy!O13</f>
        <v>52.1571</v>
      </c>
      <c r="AJ14" s="66">
        <f>Tasas_Informalidad_Proy!P13</f>
        <v>51.836799999999997</v>
      </c>
      <c r="AK14" s="66">
        <f>Tasas_Informalidad_Proy!Q13</f>
        <v>51.5184</v>
      </c>
      <c r="AL14" s="66">
        <f>Tasas_Informalidad_Proy!R13</f>
        <v>51.201999999999998</v>
      </c>
    </row>
    <row r="15" spans="1:38" ht="18" customHeight="1" x14ac:dyDescent="0.25">
      <c r="A15" s="38" t="str">
        <f>'Historico_GEIH_2007-2026'!A14</f>
        <v>Cúcuta</v>
      </c>
      <c r="B15" s="65">
        <f>'Historico_GEIH_2007-2026'!B14</f>
        <v>76.900000000000006</v>
      </c>
      <c r="C15" s="65">
        <f>'Historico_GEIH_2007-2026'!C14</f>
        <v>76.2</v>
      </c>
      <c r="D15" s="65">
        <f>'Historico_GEIH_2007-2026'!D14</f>
        <v>75.5</v>
      </c>
      <c r="E15" s="65">
        <f>'Historico_GEIH_2007-2026'!E14</f>
        <v>74.8</v>
      </c>
      <c r="F15" s="65">
        <f>'Historico_GEIH_2007-2026'!F14</f>
        <v>74.099999999999994</v>
      </c>
      <c r="G15" s="65">
        <f>'Historico_GEIH_2007-2026'!G14</f>
        <v>73.2</v>
      </c>
      <c r="H15" s="65">
        <f>'Historico_GEIH_2007-2026'!H14</f>
        <v>72.5</v>
      </c>
      <c r="I15" s="65">
        <f>'Historico_GEIH_2007-2026'!I14</f>
        <v>72</v>
      </c>
      <c r="J15" s="65">
        <f>'Historico_GEIH_2007-2026'!J14</f>
        <v>71.599999999999994</v>
      </c>
      <c r="K15" s="65">
        <f>'Historico_GEIH_2007-2026'!K14</f>
        <v>71.099999999999994</v>
      </c>
      <c r="L15" s="65">
        <f>'Historico_GEIH_2007-2026'!L14</f>
        <v>70.7</v>
      </c>
      <c r="M15" s="65">
        <f>'Historico_GEIH_2007-2026'!M14</f>
        <v>70.3</v>
      </c>
      <c r="N15" s="65">
        <f>'Historico_GEIH_2007-2026'!N14</f>
        <v>69.8</v>
      </c>
      <c r="O15" s="65">
        <f>'Historico_GEIH_2007-2026'!O14</f>
        <v>73.5</v>
      </c>
      <c r="P15" s="65">
        <f>'Historico_GEIH_2007-2026'!P14</f>
        <v>72.5</v>
      </c>
      <c r="Q15" s="65">
        <f>'Historico_GEIH_2007-2026'!Q14</f>
        <v>71.3</v>
      </c>
      <c r="R15" s="65">
        <f>'Historico_GEIH_2007-2026'!R14</f>
        <v>70.5</v>
      </c>
      <c r="S15" s="65">
        <f>'Historico_GEIH_2007-2026'!S14</f>
        <v>70.099999999999994</v>
      </c>
      <c r="T15" s="65">
        <f>'Historico_GEIH_2007-2026'!T14</f>
        <v>62.13</v>
      </c>
      <c r="U15" s="65">
        <f>'Historico_GEIH_2007-2026'!U14</f>
        <v>62.294400000000003</v>
      </c>
      <c r="V15" s="65">
        <f>Tasas_Informalidad_Proy!B14</f>
        <v>69.036199999999994</v>
      </c>
      <c r="W15" s="65">
        <f>Tasas_Informalidad_Proy!C14</f>
        <v>68.644999999999996</v>
      </c>
      <c r="X15" s="65">
        <f>Tasas_Informalidad_Proy!D14</f>
        <v>68.256</v>
      </c>
      <c r="Y15" s="65">
        <f>Tasas_Informalidad_Proy!E14</f>
        <v>67.869299999999996</v>
      </c>
      <c r="Z15" s="65">
        <f>Tasas_Informalidad_Proy!F14</f>
        <v>67.484700000000004</v>
      </c>
      <c r="AA15" s="65">
        <f>Tasas_Informalidad_Proy!G14</f>
        <v>67.1023</v>
      </c>
      <c r="AB15" s="65">
        <f>Tasas_Informalidad_Proy!H14</f>
        <v>66.721999999999994</v>
      </c>
      <c r="AC15" s="65">
        <f>Tasas_Informalidad_Proy!I14</f>
        <v>66.343999999999994</v>
      </c>
      <c r="AD15" s="65">
        <f>Tasas_Informalidad_Proy!J14</f>
        <v>65.968000000000004</v>
      </c>
      <c r="AE15" s="65">
        <f>Tasas_Informalidad_Proy!K14</f>
        <v>65.594200000000001</v>
      </c>
      <c r="AF15" s="65">
        <f>Tasas_Informalidad_Proy!L14</f>
        <v>65.222499999999997</v>
      </c>
      <c r="AG15" s="65">
        <f>Tasas_Informalidad_Proy!M14</f>
        <v>64.852900000000005</v>
      </c>
      <c r="AH15" s="65">
        <f>Tasas_Informalidad_Proy!N14</f>
        <v>64.485500000000002</v>
      </c>
      <c r="AI15" s="65">
        <f>Tasas_Informalidad_Proy!O14</f>
        <v>64.120099999999994</v>
      </c>
      <c r="AJ15" s="65">
        <f>Tasas_Informalidad_Proy!P14</f>
        <v>63.756700000000002</v>
      </c>
      <c r="AK15" s="65">
        <f>Tasas_Informalidad_Proy!Q14</f>
        <v>63.395400000000002</v>
      </c>
      <c r="AL15" s="65">
        <f>Tasas_Informalidad_Proy!R14</f>
        <v>63.036200000000001</v>
      </c>
    </row>
    <row r="16" spans="1:38" ht="18" customHeight="1" x14ac:dyDescent="0.25">
      <c r="A16" s="39" t="str">
        <f>'Historico_GEIH_2007-2026'!A15</f>
        <v>Ibagué</v>
      </c>
      <c r="B16" s="66">
        <f>'Historico_GEIH_2007-2026'!B15</f>
        <v>66.099999999999994</v>
      </c>
      <c r="C16" s="66">
        <f>'Historico_GEIH_2007-2026'!C15</f>
        <v>65.400000000000006</v>
      </c>
      <c r="D16" s="66">
        <f>'Historico_GEIH_2007-2026'!D15</f>
        <v>64.7</v>
      </c>
      <c r="E16" s="66">
        <f>'Historico_GEIH_2007-2026'!E15</f>
        <v>64.099999999999994</v>
      </c>
      <c r="F16" s="66">
        <f>'Historico_GEIH_2007-2026'!F15</f>
        <v>63.4</v>
      </c>
      <c r="G16" s="66">
        <f>'Historico_GEIH_2007-2026'!G15</f>
        <v>63</v>
      </c>
      <c r="H16" s="66">
        <f>'Historico_GEIH_2007-2026'!H15</f>
        <v>62.5</v>
      </c>
      <c r="I16" s="66">
        <f>'Historico_GEIH_2007-2026'!I15</f>
        <v>62.2</v>
      </c>
      <c r="J16" s="66">
        <f>'Historico_GEIH_2007-2026'!J15</f>
        <v>62</v>
      </c>
      <c r="K16" s="66">
        <f>'Historico_GEIH_2007-2026'!K15</f>
        <v>61.5</v>
      </c>
      <c r="L16" s="66">
        <f>'Historico_GEIH_2007-2026'!L15</f>
        <v>61</v>
      </c>
      <c r="M16" s="66">
        <f>'Historico_GEIH_2007-2026'!M15</f>
        <v>60.5</v>
      </c>
      <c r="N16" s="66">
        <f>'Historico_GEIH_2007-2026'!N15</f>
        <v>60</v>
      </c>
      <c r="O16" s="66">
        <f>'Historico_GEIH_2007-2026'!O15</f>
        <v>64</v>
      </c>
      <c r="P16" s="66">
        <f>'Historico_GEIH_2007-2026'!P15</f>
        <v>62.9</v>
      </c>
      <c r="Q16" s="66">
        <f>'Historico_GEIH_2007-2026'!Q15</f>
        <v>61.8</v>
      </c>
      <c r="R16" s="66">
        <f>'Historico_GEIH_2007-2026'!R15</f>
        <v>61.1</v>
      </c>
      <c r="S16" s="66">
        <f>'Historico_GEIH_2007-2026'!S15</f>
        <v>60.6</v>
      </c>
      <c r="T16" s="66">
        <f>'Historico_GEIH_2007-2026'!T15</f>
        <v>48.540599999999998</v>
      </c>
      <c r="U16" s="66">
        <f>'Historico_GEIH_2007-2026'!U15</f>
        <v>45.341700000000003</v>
      </c>
      <c r="V16" s="66">
        <f>Tasas_Informalidad_Proy!B15</f>
        <v>59.751800000000003</v>
      </c>
      <c r="W16" s="66">
        <f>Tasas_Informalidad_Proy!C15</f>
        <v>59.4373</v>
      </c>
      <c r="X16" s="66">
        <f>Tasas_Informalidad_Proy!D15</f>
        <v>59.124600000000001</v>
      </c>
      <c r="Y16" s="66">
        <f>Tasas_Informalidad_Proy!E15</f>
        <v>58.813400000000001</v>
      </c>
      <c r="Z16" s="66">
        <f>Tasas_Informalidad_Proy!F15</f>
        <v>58.503900000000002</v>
      </c>
      <c r="AA16" s="66">
        <f>Tasas_Informalidad_Proy!G15</f>
        <v>58.196100000000001</v>
      </c>
      <c r="AB16" s="66">
        <f>Tasas_Informalidad_Proy!H15</f>
        <v>57.889800000000001</v>
      </c>
      <c r="AC16" s="66">
        <f>Tasas_Informalidad_Proy!I15</f>
        <v>57.5852</v>
      </c>
      <c r="AD16" s="66">
        <f>Tasas_Informalidad_Proy!J15</f>
        <v>57.282200000000003</v>
      </c>
      <c r="AE16" s="66">
        <f>Tasas_Informalidad_Proy!K15</f>
        <v>56.980699999999999</v>
      </c>
      <c r="AF16" s="66">
        <f>Tasas_Informalidad_Proy!L15</f>
        <v>56.680900000000001</v>
      </c>
      <c r="AG16" s="66">
        <f>Tasas_Informalidad_Proy!M15</f>
        <v>56.382599999999996</v>
      </c>
      <c r="AH16" s="66">
        <f>Tasas_Informalidad_Proy!N15</f>
        <v>56.085900000000002</v>
      </c>
      <c r="AI16" s="66">
        <f>Tasas_Informalidad_Proy!O15</f>
        <v>55.790700000000001</v>
      </c>
      <c r="AJ16" s="66">
        <f>Tasas_Informalidad_Proy!P15</f>
        <v>55.497199999999999</v>
      </c>
      <c r="AK16" s="66">
        <f>Tasas_Informalidad_Proy!Q15</f>
        <v>55.205100000000002</v>
      </c>
      <c r="AL16" s="66">
        <f>Tasas_Informalidad_Proy!R15</f>
        <v>54.9146</v>
      </c>
    </row>
    <row r="17" spans="1:38" ht="18" customHeight="1" x14ac:dyDescent="0.25">
      <c r="A17" s="38" t="str">
        <f>'Historico_GEIH_2007-2026'!A16</f>
        <v>Montería</v>
      </c>
      <c r="B17" s="65">
        <f>'Historico_GEIH_2007-2026'!B16</f>
        <v>80.2</v>
      </c>
      <c r="C17" s="65">
        <f>'Historico_GEIH_2007-2026'!C16</f>
        <v>79.5</v>
      </c>
      <c r="D17" s="65">
        <f>'Historico_GEIH_2007-2026'!D16</f>
        <v>78.8</v>
      </c>
      <c r="E17" s="65">
        <f>'Historico_GEIH_2007-2026'!E16</f>
        <v>78.2</v>
      </c>
      <c r="F17" s="65">
        <f>'Historico_GEIH_2007-2026'!F16</f>
        <v>77.5</v>
      </c>
      <c r="G17" s="65">
        <f>'Historico_GEIH_2007-2026'!G16</f>
        <v>77</v>
      </c>
      <c r="H17" s="65">
        <f>'Historico_GEIH_2007-2026'!H16</f>
        <v>76.5</v>
      </c>
      <c r="I17" s="65">
        <f>'Historico_GEIH_2007-2026'!I16</f>
        <v>76</v>
      </c>
      <c r="J17" s="65">
        <f>'Historico_GEIH_2007-2026'!J16</f>
        <v>75.7</v>
      </c>
      <c r="K17" s="65">
        <f>'Historico_GEIH_2007-2026'!K16</f>
        <v>75.2</v>
      </c>
      <c r="L17" s="65">
        <f>'Historico_GEIH_2007-2026'!L16</f>
        <v>74.8</v>
      </c>
      <c r="M17" s="65">
        <f>'Historico_GEIH_2007-2026'!M16</f>
        <v>74.400000000000006</v>
      </c>
      <c r="N17" s="65">
        <f>'Historico_GEIH_2007-2026'!N16</f>
        <v>73.900000000000006</v>
      </c>
      <c r="O17" s="65">
        <f>'Historico_GEIH_2007-2026'!O16</f>
        <v>77.5</v>
      </c>
      <c r="P17" s="65">
        <f>'Historico_GEIH_2007-2026'!P16</f>
        <v>76.5</v>
      </c>
      <c r="Q17" s="65">
        <f>'Historico_GEIH_2007-2026'!Q16</f>
        <v>75.400000000000006</v>
      </c>
      <c r="R17" s="65">
        <f>'Historico_GEIH_2007-2026'!R16</f>
        <v>74.5</v>
      </c>
      <c r="S17" s="65">
        <f>'Historico_GEIH_2007-2026'!S16</f>
        <v>74.099999999999994</v>
      </c>
      <c r="T17" s="65">
        <f>'Historico_GEIH_2007-2026'!T16</f>
        <v>61.6021</v>
      </c>
      <c r="U17" s="65">
        <f>'Historico_GEIH_2007-2026'!U16</f>
        <v>55.817300000000003</v>
      </c>
      <c r="V17" s="65">
        <f>Tasas_Informalidad_Proy!B16</f>
        <v>73.328000000000003</v>
      </c>
      <c r="W17" s="65">
        <f>Tasas_Informalidad_Proy!C16</f>
        <v>72.984499999999997</v>
      </c>
      <c r="X17" s="65">
        <f>Tasas_Informalidad_Proy!D16</f>
        <v>72.642600000000002</v>
      </c>
      <c r="Y17" s="65">
        <f>Tasas_Informalidad_Proy!E16</f>
        <v>72.302300000000002</v>
      </c>
      <c r="Z17" s="65">
        <f>Tasas_Informalidad_Proy!F16</f>
        <v>71.9636</v>
      </c>
      <c r="AA17" s="65">
        <f>Tasas_Informalidad_Proy!G16</f>
        <v>71.626499999999993</v>
      </c>
      <c r="AB17" s="65">
        <f>Tasas_Informalidad_Proy!H16</f>
        <v>71.290899999999993</v>
      </c>
      <c r="AC17" s="65">
        <f>Tasas_Informalidad_Proy!I16</f>
        <v>70.956999999999994</v>
      </c>
      <c r="AD17" s="65">
        <f>Tasas_Informalidad_Proy!J16</f>
        <v>70.624600000000001</v>
      </c>
      <c r="AE17" s="65">
        <f>Tasas_Informalidad_Proy!K16</f>
        <v>70.293700000000001</v>
      </c>
      <c r="AF17" s="65">
        <f>Tasas_Informalidad_Proy!L16</f>
        <v>69.964399999999998</v>
      </c>
      <c r="AG17" s="65">
        <f>Tasas_Informalidad_Proy!M16</f>
        <v>69.636700000000005</v>
      </c>
      <c r="AH17" s="65">
        <f>Tasas_Informalidad_Proy!N16</f>
        <v>69.310400000000001</v>
      </c>
      <c r="AI17" s="65">
        <f>Tasas_Informalidad_Proy!O16</f>
        <v>68.985699999999994</v>
      </c>
      <c r="AJ17" s="65">
        <f>Tasas_Informalidad_Proy!P16</f>
        <v>68.662599999999998</v>
      </c>
      <c r="AK17" s="65">
        <f>Tasas_Informalidad_Proy!Q16</f>
        <v>68.340900000000005</v>
      </c>
      <c r="AL17" s="65">
        <f>Tasas_Informalidad_Proy!R16</f>
        <v>68.020799999999994</v>
      </c>
    </row>
    <row r="18" spans="1:38" ht="18" customHeight="1" x14ac:dyDescent="0.25">
      <c r="A18" s="39" t="str">
        <f>'Historico_GEIH_2007-2026'!A17</f>
        <v>Cartagena</v>
      </c>
      <c r="B18" s="66">
        <f>'Historico_GEIH_2007-2026'!B17</f>
        <v>61.5</v>
      </c>
      <c r="C18" s="66">
        <f>'Historico_GEIH_2007-2026'!C17</f>
        <v>60.8</v>
      </c>
      <c r="D18" s="66">
        <f>'Historico_GEIH_2007-2026'!D17</f>
        <v>60.2</v>
      </c>
      <c r="E18" s="66">
        <f>'Historico_GEIH_2007-2026'!E17</f>
        <v>59.5</v>
      </c>
      <c r="F18" s="66">
        <f>'Historico_GEIH_2007-2026'!F17</f>
        <v>58.8</v>
      </c>
      <c r="G18" s="66">
        <f>'Historico_GEIH_2007-2026'!G17</f>
        <v>58.2</v>
      </c>
      <c r="H18" s="66">
        <f>'Historico_GEIH_2007-2026'!H17</f>
        <v>57.8</v>
      </c>
      <c r="I18" s="66">
        <f>'Historico_GEIH_2007-2026'!I17</f>
        <v>57.5</v>
      </c>
      <c r="J18" s="66">
        <f>'Historico_GEIH_2007-2026'!J17</f>
        <v>57.2</v>
      </c>
      <c r="K18" s="66">
        <f>'Historico_GEIH_2007-2026'!K17</f>
        <v>56.9</v>
      </c>
      <c r="L18" s="66">
        <f>'Historico_GEIH_2007-2026'!L17</f>
        <v>56.5</v>
      </c>
      <c r="M18" s="66">
        <f>'Historico_GEIH_2007-2026'!M17</f>
        <v>56.1</v>
      </c>
      <c r="N18" s="66">
        <f>'Historico_GEIH_2007-2026'!N17</f>
        <v>55.6</v>
      </c>
      <c r="O18" s="66">
        <f>'Historico_GEIH_2007-2026'!O17</f>
        <v>59.5</v>
      </c>
      <c r="P18" s="66">
        <f>'Historico_GEIH_2007-2026'!P17</f>
        <v>58.2</v>
      </c>
      <c r="Q18" s="66">
        <f>'Historico_GEIH_2007-2026'!Q17</f>
        <v>57</v>
      </c>
      <c r="R18" s="66">
        <f>'Historico_GEIH_2007-2026'!R17</f>
        <v>56.3</v>
      </c>
      <c r="S18" s="66">
        <f>'Historico_GEIH_2007-2026'!S17</f>
        <v>55.8</v>
      </c>
      <c r="T18" s="66">
        <f>'Historico_GEIH_2007-2026'!T17</f>
        <v>49.305799999999998</v>
      </c>
      <c r="U18" s="66">
        <f>'Historico_GEIH_2007-2026'!U17</f>
        <v>45.7121</v>
      </c>
      <c r="V18" s="66">
        <f>Tasas_Informalidad_Proy!B17</f>
        <v>55.1</v>
      </c>
      <c r="W18" s="66">
        <f>Tasas_Informalidad_Proy!C17</f>
        <v>54.784399999999998</v>
      </c>
      <c r="X18" s="66">
        <f>Tasas_Informalidad_Proy!D17</f>
        <v>54.470700000000001</v>
      </c>
      <c r="Y18" s="66">
        <f>Tasas_Informalidad_Proy!E17</f>
        <v>54.158799999999999</v>
      </c>
      <c r="Z18" s="66">
        <f>Tasas_Informalidad_Proy!F17</f>
        <v>53.848700000000001</v>
      </c>
      <c r="AA18" s="66">
        <f>Tasas_Informalidad_Proy!G17</f>
        <v>53.540300000000002</v>
      </c>
      <c r="AB18" s="66">
        <f>Tasas_Informalidad_Proy!H17</f>
        <v>53.233699999999999</v>
      </c>
      <c r="AC18" s="66">
        <f>Tasas_Informalidad_Proy!I17</f>
        <v>52.928800000000003</v>
      </c>
      <c r="AD18" s="66">
        <f>Tasas_Informalidad_Proy!J17</f>
        <v>52.625700000000002</v>
      </c>
      <c r="AE18" s="66">
        <f>Tasas_Informalidad_Proy!K17</f>
        <v>52.324399999999997</v>
      </c>
      <c r="AF18" s="66">
        <f>Tasas_Informalidad_Proy!L17</f>
        <v>52.024700000000003</v>
      </c>
      <c r="AG18" s="66">
        <f>Tasas_Informalidad_Proy!M17</f>
        <v>51.726799999999997</v>
      </c>
      <c r="AH18" s="66">
        <f>Tasas_Informalidad_Proy!N17</f>
        <v>51.430599999999998</v>
      </c>
      <c r="AI18" s="66">
        <f>Tasas_Informalidad_Proy!O17</f>
        <v>51.136099999999999</v>
      </c>
      <c r="AJ18" s="66">
        <f>Tasas_Informalidad_Proy!P17</f>
        <v>50.843299999999999</v>
      </c>
      <c r="AK18" s="66">
        <f>Tasas_Informalidad_Proy!Q17</f>
        <v>50.552100000000003</v>
      </c>
      <c r="AL18" s="66">
        <f>Tasas_Informalidad_Proy!R17</f>
        <v>50.262599999999999</v>
      </c>
    </row>
    <row r="19" spans="1:38" ht="18" customHeight="1" x14ac:dyDescent="0.25">
      <c r="A19" s="38" t="str">
        <f>'Historico_GEIH_2007-2026'!A18</f>
        <v>Villavicencio</v>
      </c>
      <c r="B19" s="65">
        <f>'Historico_GEIH_2007-2026'!B18</f>
        <v>66.900000000000006</v>
      </c>
      <c r="C19" s="65">
        <f>'Historico_GEIH_2007-2026'!C18</f>
        <v>66.2</v>
      </c>
      <c r="D19" s="65">
        <f>'Historico_GEIH_2007-2026'!D18</f>
        <v>65.5</v>
      </c>
      <c r="E19" s="65">
        <f>'Historico_GEIH_2007-2026'!E18</f>
        <v>64.8</v>
      </c>
      <c r="F19" s="65">
        <f>'Historico_GEIH_2007-2026'!F18</f>
        <v>64.099999999999994</v>
      </c>
      <c r="G19" s="65">
        <f>'Historico_GEIH_2007-2026'!G18</f>
        <v>63.5</v>
      </c>
      <c r="H19" s="65">
        <f>'Historico_GEIH_2007-2026'!H18</f>
        <v>63</v>
      </c>
      <c r="I19" s="65">
        <f>'Historico_GEIH_2007-2026'!I18</f>
        <v>62.7</v>
      </c>
      <c r="J19" s="65">
        <f>'Historico_GEIH_2007-2026'!J18</f>
        <v>62.5</v>
      </c>
      <c r="K19" s="65">
        <f>'Historico_GEIH_2007-2026'!K18</f>
        <v>62.1</v>
      </c>
      <c r="L19" s="65">
        <f>'Historico_GEIH_2007-2026'!L18</f>
        <v>61.7</v>
      </c>
      <c r="M19" s="65">
        <f>'Historico_GEIH_2007-2026'!M18</f>
        <v>61.3</v>
      </c>
      <c r="N19" s="65">
        <f>'Historico_GEIH_2007-2026'!N18</f>
        <v>60.8</v>
      </c>
      <c r="O19" s="65">
        <f>'Historico_GEIH_2007-2026'!O18</f>
        <v>64.8</v>
      </c>
      <c r="P19" s="65">
        <f>'Historico_GEIH_2007-2026'!P18</f>
        <v>63.5</v>
      </c>
      <c r="Q19" s="65">
        <f>'Historico_GEIH_2007-2026'!Q18</f>
        <v>62.4</v>
      </c>
      <c r="R19" s="65">
        <f>'Historico_GEIH_2007-2026'!R18</f>
        <v>61.6</v>
      </c>
      <c r="S19" s="65">
        <f>'Historico_GEIH_2007-2026'!S18</f>
        <v>61.1</v>
      </c>
      <c r="T19" s="65">
        <f>'Historico_GEIH_2007-2026'!T18</f>
        <v>53.562899999999999</v>
      </c>
      <c r="U19" s="65">
        <f>'Historico_GEIH_2007-2026'!U18</f>
        <v>51.420400000000001</v>
      </c>
      <c r="V19" s="65">
        <f>Tasas_Informalidad_Proy!B18</f>
        <v>60.312600000000003</v>
      </c>
      <c r="W19" s="65">
        <f>Tasas_Informalidad_Proy!C18</f>
        <v>59.988500000000002</v>
      </c>
      <c r="X19" s="65">
        <f>Tasas_Informalidad_Proy!D18</f>
        <v>59.666200000000003</v>
      </c>
      <c r="Y19" s="65">
        <f>Tasas_Informalidad_Proy!E18</f>
        <v>59.345599999999997</v>
      </c>
      <c r="Z19" s="65">
        <f>Tasas_Informalidad_Proy!F18</f>
        <v>59.026800000000001</v>
      </c>
      <c r="AA19" s="65">
        <f>Tasas_Informalidad_Proy!G18</f>
        <v>58.709600000000002</v>
      </c>
      <c r="AB19" s="65">
        <f>Tasas_Informalidad_Proy!H18</f>
        <v>58.394199999999998</v>
      </c>
      <c r="AC19" s="65">
        <f>Tasas_Informalidad_Proy!I18</f>
        <v>58.080399999999997</v>
      </c>
      <c r="AD19" s="65">
        <f>Tasas_Informalidad_Proy!J18</f>
        <v>57.7684</v>
      </c>
      <c r="AE19" s="65">
        <f>Tasas_Informalidad_Proy!K18</f>
        <v>57.457999999999998</v>
      </c>
      <c r="AF19" s="65">
        <f>Tasas_Informalidad_Proy!L18</f>
        <v>57.149299999999997</v>
      </c>
      <c r="AG19" s="65">
        <f>Tasas_Informalidad_Proy!M18</f>
        <v>56.842199999999998</v>
      </c>
      <c r="AH19" s="65">
        <f>Tasas_Informalidad_Proy!N18</f>
        <v>56.536799999999999</v>
      </c>
      <c r="AI19" s="65">
        <f>Tasas_Informalidad_Proy!O18</f>
        <v>56.232999999999997</v>
      </c>
      <c r="AJ19" s="65">
        <f>Tasas_Informalidad_Proy!P18</f>
        <v>55.930900000000001</v>
      </c>
      <c r="AK19" s="65">
        <f>Tasas_Informalidad_Proy!Q18</f>
        <v>55.630400000000002</v>
      </c>
      <c r="AL19" s="65">
        <f>Tasas_Informalidad_Proy!R18</f>
        <v>55.331499999999998</v>
      </c>
    </row>
    <row r="20" spans="1:38" ht="18" customHeight="1" x14ac:dyDescent="0.25">
      <c r="A20" s="39" t="str">
        <f>'Historico_GEIH_2007-2026'!A19</f>
        <v>Tunja</v>
      </c>
      <c r="B20" s="66">
        <f>'Historico_GEIH_2007-2026'!B19</f>
        <v>66.5</v>
      </c>
      <c r="C20" s="66">
        <f>'Historico_GEIH_2007-2026'!C19</f>
        <v>65.8</v>
      </c>
      <c r="D20" s="66">
        <f>'Historico_GEIH_2007-2026'!D19</f>
        <v>65.099999999999994</v>
      </c>
      <c r="E20" s="66">
        <f>'Historico_GEIH_2007-2026'!E19</f>
        <v>64.5</v>
      </c>
      <c r="F20" s="66">
        <f>'Historico_GEIH_2007-2026'!F19</f>
        <v>63.8</v>
      </c>
      <c r="G20" s="66">
        <f>'Historico_GEIH_2007-2026'!G19</f>
        <v>63.2</v>
      </c>
      <c r="H20" s="66">
        <f>'Historico_GEIH_2007-2026'!H19</f>
        <v>62.8</v>
      </c>
      <c r="I20" s="66">
        <f>'Historico_GEIH_2007-2026'!I19</f>
        <v>62.5</v>
      </c>
      <c r="J20" s="66">
        <f>'Historico_GEIH_2007-2026'!J19</f>
        <v>62.3</v>
      </c>
      <c r="K20" s="66">
        <f>'Historico_GEIH_2007-2026'!K19</f>
        <v>62</v>
      </c>
      <c r="L20" s="66">
        <f>'Historico_GEIH_2007-2026'!L19</f>
        <v>61.6</v>
      </c>
      <c r="M20" s="66">
        <f>'Historico_GEIH_2007-2026'!M19</f>
        <v>61.2</v>
      </c>
      <c r="N20" s="66">
        <f>'Historico_GEIH_2007-2026'!N19</f>
        <v>60.7</v>
      </c>
      <c r="O20" s="66">
        <f>'Historico_GEIH_2007-2026'!O19</f>
        <v>64.5</v>
      </c>
      <c r="P20" s="66">
        <f>'Historico_GEIH_2007-2026'!P19</f>
        <v>63.2</v>
      </c>
      <c r="Q20" s="66">
        <f>'Historico_GEIH_2007-2026'!Q19</f>
        <v>62.1</v>
      </c>
      <c r="R20" s="66">
        <f>'Historico_GEIH_2007-2026'!R19</f>
        <v>61.3</v>
      </c>
      <c r="S20" s="66">
        <f>'Historico_GEIH_2007-2026'!S19</f>
        <v>60.8</v>
      </c>
      <c r="T20" s="66">
        <f>'Historico_GEIH_2007-2026'!T19</f>
        <v>40.558199999999999</v>
      </c>
      <c r="U20" s="66">
        <f>'Historico_GEIH_2007-2026'!U19</f>
        <v>34.870100000000001</v>
      </c>
      <c r="V20" s="66">
        <f>Tasas_Informalidad_Proy!B19</f>
        <v>60.179699999999997</v>
      </c>
      <c r="W20" s="66">
        <f>Tasas_Informalidad_Proy!C19</f>
        <v>59.8688</v>
      </c>
      <c r="X20" s="66">
        <f>Tasas_Informalidad_Proy!D19</f>
        <v>59.5595</v>
      </c>
      <c r="Y20" s="66">
        <f>Tasas_Informalidad_Proy!E19</f>
        <v>59.2517</v>
      </c>
      <c r="Z20" s="66">
        <f>Tasas_Informalidad_Proy!F19</f>
        <v>58.945599999999999</v>
      </c>
      <c r="AA20" s="66">
        <f>Tasas_Informalidad_Proy!G19</f>
        <v>58.640999999999998</v>
      </c>
      <c r="AB20" s="66">
        <f>Tasas_Informalidad_Proy!H19</f>
        <v>58.338000000000001</v>
      </c>
      <c r="AC20" s="66">
        <f>Tasas_Informalidad_Proy!I19</f>
        <v>58.0366</v>
      </c>
      <c r="AD20" s="66">
        <f>Tasas_Informalidad_Proy!J19</f>
        <v>57.736800000000002</v>
      </c>
      <c r="AE20" s="66">
        <f>Tasas_Informalidad_Proy!K19</f>
        <v>57.438400000000001</v>
      </c>
      <c r="AF20" s="66">
        <f>Tasas_Informalidad_Proy!L19</f>
        <v>57.1417</v>
      </c>
      <c r="AG20" s="66">
        <f>Tasas_Informalidad_Proy!M19</f>
        <v>56.846400000000003</v>
      </c>
      <c r="AH20" s="66">
        <f>Tasas_Informalidad_Proy!N19</f>
        <v>56.552700000000002</v>
      </c>
      <c r="AI20" s="66">
        <f>Tasas_Informalidad_Proy!O19</f>
        <v>56.2605</v>
      </c>
      <c r="AJ20" s="66">
        <f>Tasas_Informalidad_Proy!P19</f>
        <v>55.969799999999999</v>
      </c>
      <c r="AK20" s="66">
        <f>Tasas_Informalidad_Proy!Q19</f>
        <v>55.680599999999998</v>
      </c>
      <c r="AL20" s="66">
        <f>Tasas_Informalidad_Proy!R19</f>
        <v>55.392899999999997</v>
      </c>
    </row>
    <row r="21" spans="1:38" ht="18" customHeight="1" x14ac:dyDescent="0.25">
      <c r="A21" s="38" t="str">
        <f>'Historico_GEIH_2007-2026'!A20</f>
        <v>Florencia</v>
      </c>
      <c r="B21" s="65">
        <f>'Historico_GEIH_2007-2026'!B20</f>
        <v>81.2</v>
      </c>
      <c r="C21" s="65">
        <f>'Historico_GEIH_2007-2026'!C20</f>
        <v>80.5</v>
      </c>
      <c r="D21" s="65">
        <f>'Historico_GEIH_2007-2026'!D20</f>
        <v>79.8</v>
      </c>
      <c r="E21" s="65">
        <f>'Historico_GEIH_2007-2026'!E20</f>
        <v>79.2</v>
      </c>
      <c r="F21" s="65">
        <f>'Historico_GEIH_2007-2026'!F20</f>
        <v>78.5</v>
      </c>
      <c r="G21" s="65">
        <f>'Historico_GEIH_2007-2026'!G20</f>
        <v>77.8</v>
      </c>
      <c r="H21" s="65">
        <f>'Historico_GEIH_2007-2026'!H20</f>
        <v>77.400000000000006</v>
      </c>
      <c r="I21" s="65">
        <f>'Historico_GEIH_2007-2026'!I20</f>
        <v>77.099999999999994</v>
      </c>
      <c r="J21" s="65">
        <f>'Historico_GEIH_2007-2026'!J20</f>
        <v>76.8</v>
      </c>
      <c r="K21" s="65">
        <f>'Historico_GEIH_2007-2026'!K20</f>
        <v>76.3</v>
      </c>
      <c r="L21" s="65">
        <f>'Historico_GEIH_2007-2026'!L20</f>
        <v>75.900000000000006</v>
      </c>
      <c r="M21" s="65">
        <f>'Historico_GEIH_2007-2026'!M20</f>
        <v>75.5</v>
      </c>
      <c r="N21" s="65">
        <f>'Historico_GEIH_2007-2026'!N20</f>
        <v>75.099999999999994</v>
      </c>
      <c r="O21" s="65">
        <f>'Historico_GEIH_2007-2026'!O20</f>
        <v>78.8</v>
      </c>
      <c r="P21" s="65">
        <f>'Historico_GEIH_2007-2026'!P20</f>
        <v>77.8</v>
      </c>
      <c r="Q21" s="65">
        <f>'Historico_GEIH_2007-2026'!Q20</f>
        <v>76.7</v>
      </c>
      <c r="R21" s="65">
        <f>'Historico_GEIH_2007-2026'!R20</f>
        <v>75.8</v>
      </c>
      <c r="S21" s="65">
        <f>'Historico_GEIH_2007-2026'!S20</f>
        <v>75.400000000000006</v>
      </c>
      <c r="T21" s="65">
        <f>'Historico_GEIH_2007-2026'!T20</f>
        <v>54.416699999999999</v>
      </c>
      <c r="U21" s="65">
        <f>'Historico_GEIH_2007-2026'!U20</f>
        <v>54.399700000000003</v>
      </c>
      <c r="V21" s="65">
        <f>Tasas_Informalidad_Proy!B20</f>
        <v>74.556399999999996</v>
      </c>
      <c r="W21" s="65">
        <f>Tasas_Informalidad_Proy!C20</f>
        <v>74.225999999999999</v>
      </c>
      <c r="X21" s="65">
        <f>Tasas_Informalidad_Proy!D20</f>
        <v>73.897000000000006</v>
      </c>
      <c r="Y21" s="65">
        <f>Tasas_Informalidad_Proy!E20</f>
        <v>73.569500000000005</v>
      </c>
      <c r="Z21" s="65">
        <f>Tasas_Informalidad_Proy!F20</f>
        <v>73.243499999999997</v>
      </c>
      <c r="AA21" s="65">
        <f>Tasas_Informalidad_Proy!G20</f>
        <v>72.918800000000005</v>
      </c>
      <c r="AB21" s="65">
        <f>Tasas_Informalidad_Proy!H20</f>
        <v>72.595699999999994</v>
      </c>
      <c r="AC21" s="65">
        <f>Tasas_Informalidad_Proy!I20</f>
        <v>72.273899999999998</v>
      </c>
      <c r="AD21" s="65">
        <f>Tasas_Informalidad_Proy!J20</f>
        <v>71.953599999999994</v>
      </c>
      <c r="AE21" s="65">
        <f>Tasas_Informalidad_Proy!K20</f>
        <v>71.634699999999995</v>
      </c>
      <c r="AF21" s="65">
        <f>Tasas_Informalidad_Proy!L20</f>
        <v>71.3172</v>
      </c>
      <c r="AG21" s="65">
        <f>Tasas_Informalidad_Proy!M20</f>
        <v>71.001099999999994</v>
      </c>
      <c r="AH21" s="65">
        <f>Tasas_Informalidad_Proy!N20</f>
        <v>70.686499999999995</v>
      </c>
      <c r="AI21" s="65">
        <f>Tasas_Informalidad_Proy!O20</f>
        <v>70.373199999999997</v>
      </c>
      <c r="AJ21" s="65">
        <f>Tasas_Informalidad_Proy!P20</f>
        <v>70.061300000000003</v>
      </c>
      <c r="AK21" s="65">
        <f>Tasas_Informalidad_Proy!Q20</f>
        <v>69.750799999999998</v>
      </c>
      <c r="AL21" s="65">
        <f>Tasas_Informalidad_Proy!R20</f>
        <v>69.441599999999994</v>
      </c>
    </row>
    <row r="22" spans="1:38" ht="18" customHeight="1" x14ac:dyDescent="0.25">
      <c r="A22" s="39" t="str">
        <f>'Historico_GEIH_2007-2026'!A21</f>
        <v>Popayán</v>
      </c>
      <c r="B22" s="66">
        <f>'Historico_GEIH_2007-2026'!B21</f>
        <v>74.5</v>
      </c>
      <c r="C22" s="66">
        <f>'Historico_GEIH_2007-2026'!C21</f>
        <v>73.8</v>
      </c>
      <c r="D22" s="66">
        <f>'Historico_GEIH_2007-2026'!D21</f>
        <v>73.099999999999994</v>
      </c>
      <c r="E22" s="66">
        <f>'Historico_GEIH_2007-2026'!E21</f>
        <v>72.5</v>
      </c>
      <c r="F22" s="66">
        <f>'Historico_GEIH_2007-2026'!F21</f>
        <v>71.8</v>
      </c>
      <c r="G22" s="66">
        <f>'Historico_GEIH_2007-2026'!G21</f>
        <v>71.2</v>
      </c>
      <c r="H22" s="66">
        <f>'Historico_GEIH_2007-2026'!H21</f>
        <v>70.7</v>
      </c>
      <c r="I22" s="66">
        <f>'Historico_GEIH_2007-2026'!I21</f>
        <v>70.5</v>
      </c>
      <c r="J22" s="66">
        <f>'Historico_GEIH_2007-2026'!J21</f>
        <v>70.2</v>
      </c>
      <c r="K22" s="66">
        <f>'Historico_GEIH_2007-2026'!K21</f>
        <v>69.8</v>
      </c>
      <c r="L22" s="66">
        <f>'Historico_GEIH_2007-2026'!L21</f>
        <v>69.400000000000006</v>
      </c>
      <c r="M22" s="66">
        <f>'Historico_GEIH_2007-2026'!M21</f>
        <v>69</v>
      </c>
      <c r="N22" s="66">
        <f>'Historico_GEIH_2007-2026'!N21</f>
        <v>68.5</v>
      </c>
      <c r="O22" s="66">
        <f>'Historico_GEIH_2007-2026'!O21</f>
        <v>72.400000000000006</v>
      </c>
      <c r="P22" s="66">
        <f>'Historico_GEIH_2007-2026'!P21</f>
        <v>71.3</v>
      </c>
      <c r="Q22" s="66">
        <f>'Historico_GEIH_2007-2026'!Q21</f>
        <v>70.099999999999994</v>
      </c>
      <c r="R22" s="66">
        <f>'Historico_GEIH_2007-2026'!R21</f>
        <v>69.400000000000006</v>
      </c>
      <c r="S22" s="66">
        <f>'Historico_GEIH_2007-2026'!S21</f>
        <v>68.900000000000006</v>
      </c>
      <c r="T22" s="66">
        <f>'Historico_GEIH_2007-2026'!T21</f>
        <v>57.064999999999998</v>
      </c>
      <c r="U22" s="66">
        <f>'Historico_GEIH_2007-2026'!U21</f>
        <v>51.918399999999998</v>
      </c>
      <c r="V22" s="66">
        <f>Tasas_Informalidad_Proy!B21</f>
        <v>68.081000000000003</v>
      </c>
      <c r="W22" s="66">
        <f>Tasas_Informalidad_Proy!C21</f>
        <v>67.763000000000005</v>
      </c>
      <c r="X22" s="66">
        <f>Tasas_Informalidad_Proy!D21</f>
        <v>67.4465</v>
      </c>
      <c r="Y22" s="66">
        <f>Tasas_Informalidad_Proy!E21</f>
        <v>67.131600000000006</v>
      </c>
      <c r="Z22" s="66">
        <f>Tasas_Informalidad_Proy!F21</f>
        <v>66.817999999999998</v>
      </c>
      <c r="AA22" s="66">
        <f>Tasas_Informalidad_Proy!G21</f>
        <v>66.506</v>
      </c>
      <c r="AB22" s="66">
        <f>Tasas_Informalidad_Proy!H21</f>
        <v>66.195400000000006</v>
      </c>
      <c r="AC22" s="66">
        <f>Tasas_Informalidad_Proy!I21</f>
        <v>65.886200000000002</v>
      </c>
      <c r="AD22" s="66">
        <f>Tasas_Informalidad_Proy!J21</f>
        <v>65.578500000000005</v>
      </c>
      <c r="AE22" s="66">
        <f>Tasas_Informalidad_Proy!K21</f>
        <v>65.272199999999998</v>
      </c>
      <c r="AF22" s="66">
        <f>Tasas_Informalidad_Proy!L21</f>
        <v>64.967399999999998</v>
      </c>
      <c r="AG22" s="66">
        <f>Tasas_Informalidad_Proy!M21</f>
        <v>64.664000000000001</v>
      </c>
      <c r="AH22" s="66">
        <f>Tasas_Informalidad_Proy!N21</f>
        <v>64.361999999999995</v>
      </c>
      <c r="AI22" s="66">
        <f>Tasas_Informalidad_Proy!O21</f>
        <v>64.061400000000006</v>
      </c>
      <c r="AJ22" s="66">
        <f>Tasas_Informalidad_Proy!P21</f>
        <v>63.7622</v>
      </c>
      <c r="AK22" s="66">
        <f>Tasas_Informalidad_Proy!Q21</f>
        <v>63.464399999999998</v>
      </c>
      <c r="AL22" s="66">
        <f>Tasas_Informalidad_Proy!R21</f>
        <v>63.167999999999999</v>
      </c>
    </row>
    <row r="23" spans="1:38" ht="18" customHeight="1" x14ac:dyDescent="0.25">
      <c r="A23" s="38" t="str">
        <f>'Historico_GEIH_2007-2026'!A22</f>
        <v>Valledupar</v>
      </c>
      <c r="B23" s="65">
        <f>'Historico_GEIH_2007-2026'!B22</f>
        <v>73.2</v>
      </c>
      <c r="C23" s="65">
        <f>'Historico_GEIH_2007-2026'!C22</f>
        <v>72.5</v>
      </c>
      <c r="D23" s="65">
        <f>'Historico_GEIH_2007-2026'!D22</f>
        <v>71.8</v>
      </c>
      <c r="E23" s="65">
        <f>'Historico_GEIH_2007-2026'!E22</f>
        <v>71.2</v>
      </c>
      <c r="F23" s="65">
        <f>'Historico_GEIH_2007-2026'!F22</f>
        <v>70.5</v>
      </c>
      <c r="G23" s="65">
        <f>'Historico_GEIH_2007-2026'!G22</f>
        <v>69.8</v>
      </c>
      <c r="H23" s="65">
        <f>'Historico_GEIH_2007-2026'!H22</f>
        <v>69.400000000000006</v>
      </c>
      <c r="I23" s="65">
        <f>'Historico_GEIH_2007-2026'!I22</f>
        <v>69.099999999999994</v>
      </c>
      <c r="J23" s="65">
        <f>'Historico_GEIH_2007-2026'!J22</f>
        <v>68.8</v>
      </c>
      <c r="K23" s="65">
        <f>'Historico_GEIH_2007-2026'!K22</f>
        <v>68.400000000000006</v>
      </c>
      <c r="L23" s="65">
        <f>'Historico_GEIH_2007-2026'!L22</f>
        <v>68</v>
      </c>
      <c r="M23" s="65">
        <f>'Historico_GEIH_2007-2026'!M22</f>
        <v>67.599999999999994</v>
      </c>
      <c r="N23" s="65">
        <f>'Historico_GEIH_2007-2026'!N22</f>
        <v>67.099999999999994</v>
      </c>
      <c r="O23" s="65">
        <f>'Historico_GEIH_2007-2026'!O22</f>
        <v>70.8</v>
      </c>
      <c r="P23" s="65">
        <f>'Historico_GEIH_2007-2026'!P22</f>
        <v>69.8</v>
      </c>
      <c r="Q23" s="65">
        <f>'Historico_GEIH_2007-2026'!Q22</f>
        <v>68.7</v>
      </c>
      <c r="R23" s="65">
        <f>'Historico_GEIH_2007-2026'!R22</f>
        <v>67.900000000000006</v>
      </c>
      <c r="S23" s="65">
        <f>'Historico_GEIH_2007-2026'!S22</f>
        <v>67.400000000000006</v>
      </c>
      <c r="T23" s="65">
        <f>'Historico_GEIH_2007-2026'!T22</f>
        <v>64.576499999999996</v>
      </c>
      <c r="U23" s="65">
        <f>'Historico_GEIH_2007-2026'!U22</f>
        <v>62.209600000000002</v>
      </c>
      <c r="V23" s="65">
        <f>Tasas_Informalidad_Proy!B22</f>
        <v>66.617900000000006</v>
      </c>
      <c r="W23" s="65">
        <f>Tasas_Informalidad_Proy!C22</f>
        <v>66.2928</v>
      </c>
      <c r="X23" s="65">
        <f>Tasas_Informalidad_Proy!D22</f>
        <v>65.969300000000004</v>
      </c>
      <c r="Y23" s="65">
        <f>Tasas_Informalidad_Proy!E22</f>
        <v>65.647300000000001</v>
      </c>
      <c r="Z23" s="65">
        <f>Tasas_Informalidad_Proy!F22</f>
        <v>65.326899999999995</v>
      </c>
      <c r="AA23" s="65">
        <f>Tasas_Informalidad_Proy!G22</f>
        <v>65.008099999999999</v>
      </c>
      <c r="AB23" s="65">
        <f>Tasas_Informalidad_Proy!H22</f>
        <v>64.690799999999996</v>
      </c>
      <c r="AC23" s="65">
        <f>Tasas_Informalidad_Proy!I22</f>
        <v>64.375100000000003</v>
      </c>
      <c r="AD23" s="65">
        <f>Tasas_Informalidad_Proy!J22</f>
        <v>64.060900000000004</v>
      </c>
      <c r="AE23" s="65">
        <f>Tasas_Informalidad_Proy!K22</f>
        <v>63.748199999999997</v>
      </c>
      <c r="AF23" s="65">
        <f>Tasas_Informalidad_Proy!L22</f>
        <v>63.437100000000001</v>
      </c>
      <c r="AG23" s="65">
        <f>Tasas_Informalidad_Proy!M22</f>
        <v>63.127499999999998</v>
      </c>
      <c r="AH23" s="65">
        <f>Tasas_Informalidad_Proy!N22</f>
        <v>62.819400000000002</v>
      </c>
      <c r="AI23" s="65">
        <f>Tasas_Informalidad_Proy!O22</f>
        <v>62.512799999999999</v>
      </c>
      <c r="AJ23" s="65">
        <f>Tasas_Informalidad_Proy!P22</f>
        <v>62.207700000000003</v>
      </c>
      <c r="AK23" s="65">
        <f>Tasas_Informalidad_Proy!Q22</f>
        <v>61.9041</v>
      </c>
      <c r="AL23" s="65">
        <f>Tasas_Informalidad_Proy!R22</f>
        <v>61.601999999999997</v>
      </c>
    </row>
    <row r="24" spans="1:38" ht="18" customHeight="1" x14ac:dyDescent="0.25">
      <c r="A24" s="39" t="str">
        <f>'Historico_GEIH_2007-2026'!A23</f>
        <v>Quibdó</v>
      </c>
      <c r="B24" s="66">
        <f>'Historico_GEIH_2007-2026'!B23</f>
        <v>84.2</v>
      </c>
      <c r="C24" s="66">
        <f>'Historico_GEIH_2007-2026'!C23</f>
        <v>83.5</v>
      </c>
      <c r="D24" s="66">
        <f>'Historico_GEIH_2007-2026'!D23</f>
        <v>82.8</v>
      </c>
      <c r="E24" s="66">
        <f>'Historico_GEIH_2007-2026'!E23</f>
        <v>82.2</v>
      </c>
      <c r="F24" s="66">
        <f>'Historico_GEIH_2007-2026'!F23</f>
        <v>81.5</v>
      </c>
      <c r="G24" s="66">
        <f>'Historico_GEIH_2007-2026'!G23</f>
        <v>80.8</v>
      </c>
      <c r="H24" s="66">
        <f>'Historico_GEIH_2007-2026'!H23</f>
        <v>80.400000000000006</v>
      </c>
      <c r="I24" s="66">
        <f>'Historico_GEIH_2007-2026'!I23</f>
        <v>80.099999999999994</v>
      </c>
      <c r="J24" s="66">
        <f>'Historico_GEIH_2007-2026'!J23</f>
        <v>79.8</v>
      </c>
      <c r="K24" s="66">
        <f>'Historico_GEIH_2007-2026'!K23</f>
        <v>79.3</v>
      </c>
      <c r="L24" s="66">
        <f>'Historico_GEIH_2007-2026'!L23</f>
        <v>78.900000000000006</v>
      </c>
      <c r="M24" s="66">
        <f>'Historico_GEIH_2007-2026'!M23</f>
        <v>78.5</v>
      </c>
      <c r="N24" s="66">
        <f>'Historico_GEIH_2007-2026'!N23</f>
        <v>78.099999999999994</v>
      </c>
      <c r="O24" s="66">
        <f>'Historico_GEIH_2007-2026'!O23</f>
        <v>81.8</v>
      </c>
      <c r="P24" s="66">
        <f>'Historico_GEIH_2007-2026'!P23</f>
        <v>80.8</v>
      </c>
      <c r="Q24" s="66">
        <f>'Historico_GEIH_2007-2026'!Q23</f>
        <v>79.7</v>
      </c>
      <c r="R24" s="66">
        <f>'Historico_GEIH_2007-2026'!R23</f>
        <v>78.900000000000006</v>
      </c>
      <c r="S24" s="66">
        <f>'Historico_GEIH_2007-2026'!S23</f>
        <v>78.400000000000006</v>
      </c>
      <c r="T24" s="66">
        <f>'Historico_GEIH_2007-2026'!T23</f>
        <v>58.622599999999998</v>
      </c>
      <c r="U24" s="66">
        <f>'Historico_GEIH_2007-2026'!U23</f>
        <v>54.1631</v>
      </c>
      <c r="V24" s="66">
        <f>Tasas_Informalidad_Proy!B23</f>
        <v>77.569900000000004</v>
      </c>
      <c r="W24" s="66">
        <f>Tasas_Informalidad_Proy!C23</f>
        <v>77.239999999999995</v>
      </c>
      <c r="X24" s="66">
        <f>Tasas_Informalidad_Proy!D23</f>
        <v>76.9114</v>
      </c>
      <c r="Y24" s="66">
        <f>Tasas_Informalidad_Proy!E23</f>
        <v>76.584299999999999</v>
      </c>
      <c r="Z24" s="66">
        <f>Tasas_Informalidad_Proy!F23</f>
        <v>76.258499999999998</v>
      </c>
      <c r="AA24" s="66">
        <f>Tasas_Informalidad_Proy!G23</f>
        <v>75.934200000000004</v>
      </c>
      <c r="AB24" s="66">
        <f>Tasas_Informalidad_Proy!H23</f>
        <v>75.611199999999997</v>
      </c>
      <c r="AC24" s="66">
        <f>Tasas_Informalidad_Proy!I23</f>
        <v>75.289599999999993</v>
      </c>
      <c r="AD24" s="66">
        <f>Tasas_Informalidad_Proy!J23</f>
        <v>74.969399999999993</v>
      </c>
      <c r="AE24" s="66">
        <f>Tasas_Informalidad_Proy!K23</f>
        <v>74.650499999999994</v>
      </c>
      <c r="AF24" s="66">
        <f>Tasas_Informalidad_Proy!L23</f>
        <v>74.332999999999998</v>
      </c>
      <c r="AG24" s="66">
        <f>Tasas_Informalidad_Proy!M23</f>
        <v>74.016800000000003</v>
      </c>
      <c r="AH24" s="66">
        <f>Tasas_Informalidad_Proy!N23</f>
        <v>73.701999999999998</v>
      </c>
      <c r="AI24" s="66">
        <f>Tasas_Informalidad_Proy!O23</f>
        <v>73.388499999999993</v>
      </c>
      <c r="AJ24" s="66">
        <f>Tasas_Informalidad_Proy!P23</f>
        <v>73.076400000000007</v>
      </c>
      <c r="AK24" s="66">
        <f>Tasas_Informalidad_Proy!Q23</f>
        <v>72.765500000000003</v>
      </c>
      <c r="AL24" s="66">
        <f>Tasas_Informalidad_Proy!R23</f>
        <v>72.456000000000003</v>
      </c>
    </row>
    <row r="25" spans="1:38" ht="18" customHeight="1" x14ac:dyDescent="0.25">
      <c r="A25" s="38" t="str">
        <f>'Historico_GEIH_2007-2026'!A24</f>
        <v>Neiva</v>
      </c>
      <c r="B25" s="65">
        <f>'Historico_GEIH_2007-2026'!B24</f>
        <v>70.5</v>
      </c>
      <c r="C25" s="65">
        <f>'Historico_GEIH_2007-2026'!C24</f>
        <v>69.8</v>
      </c>
      <c r="D25" s="65">
        <f>'Historico_GEIH_2007-2026'!D24</f>
        <v>69.099999999999994</v>
      </c>
      <c r="E25" s="65">
        <f>'Historico_GEIH_2007-2026'!E24</f>
        <v>68.5</v>
      </c>
      <c r="F25" s="65">
        <f>'Historico_GEIH_2007-2026'!F24</f>
        <v>67.8</v>
      </c>
      <c r="G25" s="65">
        <f>'Historico_GEIH_2007-2026'!G24</f>
        <v>67.2</v>
      </c>
      <c r="H25" s="65">
        <f>'Historico_GEIH_2007-2026'!H24</f>
        <v>66.7</v>
      </c>
      <c r="I25" s="65">
        <f>'Historico_GEIH_2007-2026'!I24</f>
        <v>66.5</v>
      </c>
      <c r="J25" s="65">
        <f>'Historico_GEIH_2007-2026'!J24</f>
        <v>66.2</v>
      </c>
      <c r="K25" s="65">
        <f>'Historico_GEIH_2007-2026'!K24</f>
        <v>65.8</v>
      </c>
      <c r="L25" s="65">
        <f>'Historico_GEIH_2007-2026'!L24</f>
        <v>65.400000000000006</v>
      </c>
      <c r="M25" s="65">
        <f>'Historico_GEIH_2007-2026'!M24</f>
        <v>65</v>
      </c>
      <c r="N25" s="65">
        <f>'Historico_GEIH_2007-2026'!N24</f>
        <v>64.5</v>
      </c>
      <c r="O25" s="65">
        <f>'Historico_GEIH_2007-2026'!O24</f>
        <v>68.2</v>
      </c>
      <c r="P25" s="65">
        <f>'Historico_GEIH_2007-2026'!P24</f>
        <v>67.099999999999994</v>
      </c>
      <c r="Q25" s="65">
        <f>'Historico_GEIH_2007-2026'!Q24</f>
        <v>66</v>
      </c>
      <c r="R25" s="65">
        <f>'Historico_GEIH_2007-2026'!R24</f>
        <v>65.2</v>
      </c>
      <c r="S25" s="65">
        <f>'Historico_GEIH_2007-2026'!S24</f>
        <v>64.8</v>
      </c>
      <c r="T25" s="65">
        <f>'Historico_GEIH_2007-2026'!T24</f>
        <v>51.8187</v>
      </c>
      <c r="U25" s="65">
        <f>'Historico_GEIH_2007-2026'!U24</f>
        <v>45.356000000000002</v>
      </c>
      <c r="V25" s="65">
        <f>Tasas_Informalidad_Proy!B24</f>
        <v>64.015100000000004</v>
      </c>
      <c r="W25" s="65">
        <f>Tasas_Informalidad_Proy!C24</f>
        <v>63.695399999999999</v>
      </c>
      <c r="X25" s="65">
        <f>Tasas_Informalidad_Proy!D24</f>
        <v>63.377299999999998</v>
      </c>
      <c r="Y25" s="65">
        <f>Tasas_Informalidad_Proy!E24</f>
        <v>63.0608</v>
      </c>
      <c r="Z25" s="65">
        <f>Tasas_Informalidad_Proy!F24</f>
        <v>62.745899999999999</v>
      </c>
      <c r="AA25" s="65">
        <f>Tasas_Informalidad_Proy!G24</f>
        <v>62.432499999999997</v>
      </c>
      <c r="AB25" s="65">
        <f>Tasas_Informalidad_Proy!H24</f>
        <v>62.120800000000003</v>
      </c>
      <c r="AC25" s="65">
        <f>Tasas_Informalidad_Proy!I24</f>
        <v>61.810600000000001</v>
      </c>
      <c r="AD25" s="65">
        <f>Tasas_Informalidad_Proy!J24</f>
        <v>61.501899999999999</v>
      </c>
      <c r="AE25" s="65">
        <f>Tasas_Informalidad_Proy!K24</f>
        <v>61.194800000000001</v>
      </c>
      <c r="AF25" s="65">
        <f>Tasas_Informalidad_Proy!L24</f>
        <v>60.889200000000002</v>
      </c>
      <c r="AG25" s="65">
        <f>Tasas_Informalidad_Proy!M24</f>
        <v>60.585099999999997</v>
      </c>
      <c r="AH25" s="65">
        <f>Tasas_Informalidad_Proy!N24</f>
        <v>60.282499999999999</v>
      </c>
      <c r="AI25" s="65">
        <f>Tasas_Informalidad_Proy!O24</f>
        <v>59.981499999999997</v>
      </c>
      <c r="AJ25" s="65">
        <f>Tasas_Informalidad_Proy!P24</f>
        <v>59.682000000000002</v>
      </c>
      <c r="AK25" s="65">
        <f>Tasas_Informalidad_Proy!Q24</f>
        <v>59.383899999999997</v>
      </c>
      <c r="AL25" s="65">
        <f>Tasas_Informalidad_Proy!R24</f>
        <v>59.087400000000002</v>
      </c>
    </row>
    <row r="26" spans="1:38" ht="18" customHeight="1" x14ac:dyDescent="0.25">
      <c r="A26" s="39" t="str">
        <f>'Historico_GEIH_2007-2026'!A25</f>
        <v>Riohacha</v>
      </c>
      <c r="B26" s="66">
        <f>'Historico_GEIH_2007-2026'!B25</f>
        <v>78.900000000000006</v>
      </c>
      <c r="C26" s="66">
        <f>'Historico_GEIH_2007-2026'!C25</f>
        <v>78.2</v>
      </c>
      <c r="D26" s="66">
        <f>'Historico_GEIH_2007-2026'!D25</f>
        <v>77.5</v>
      </c>
      <c r="E26" s="66">
        <f>'Historico_GEIH_2007-2026'!E25</f>
        <v>76.900000000000006</v>
      </c>
      <c r="F26" s="66">
        <f>'Historico_GEIH_2007-2026'!F25</f>
        <v>76.2</v>
      </c>
      <c r="G26" s="66">
        <f>'Historico_GEIH_2007-2026'!G25</f>
        <v>75.5</v>
      </c>
      <c r="H26" s="66">
        <f>'Historico_GEIH_2007-2026'!H25</f>
        <v>75.099999999999994</v>
      </c>
      <c r="I26" s="66">
        <f>'Historico_GEIH_2007-2026'!I25</f>
        <v>74.8</v>
      </c>
      <c r="J26" s="66">
        <f>'Historico_GEIH_2007-2026'!J25</f>
        <v>74.5</v>
      </c>
      <c r="K26" s="66">
        <f>'Historico_GEIH_2007-2026'!K25</f>
        <v>74.099999999999994</v>
      </c>
      <c r="L26" s="66">
        <f>'Historico_GEIH_2007-2026'!L25</f>
        <v>73.7</v>
      </c>
      <c r="M26" s="66">
        <f>'Historico_GEIH_2007-2026'!M25</f>
        <v>73.3</v>
      </c>
      <c r="N26" s="66">
        <f>'Historico_GEIH_2007-2026'!N25</f>
        <v>72.8</v>
      </c>
      <c r="O26" s="66">
        <f>'Historico_GEIH_2007-2026'!O25</f>
        <v>76.5</v>
      </c>
      <c r="P26" s="66">
        <f>'Historico_GEIH_2007-2026'!P25</f>
        <v>75.5</v>
      </c>
      <c r="Q26" s="66">
        <f>'Historico_GEIH_2007-2026'!Q25</f>
        <v>74.400000000000006</v>
      </c>
      <c r="R26" s="66">
        <f>'Historico_GEIH_2007-2026'!R25</f>
        <v>73.599999999999994</v>
      </c>
      <c r="S26" s="66">
        <f>'Historico_GEIH_2007-2026'!S25</f>
        <v>73.099999999999994</v>
      </c>
      <c r="T26" s="66">
        <f>'Historico_GEIH_2007-2026'!T25</f>
        <v>62.372599999999998</v>
      </c>
      <c r="U26" s="66">
        <f>'Historico_GEIH_2007-2026'!U25</f>
        <v>60.6586</v>
      </c>
      <c r="V26" s="66">
        <f>Tasas_Informalidad_Proy!B25</f>
        <v>72.313599999999994</v>
      </c>
      <c r="W26" s="66">
        <f>Tasas_Informalidad_Proy!C25</f>
        <v>71.987200000000001</v>
      </c>
      <c r="X26" s="66">
        <f>Tasas_Informalidad_Proy!D25</f>
        <v>71.662199999999999</v>
      </c>
      <c r="Y26" s="66">
        <f>Tasas_Informalidad_Proy!E25</f>
        <v>71.338800000000006</v>
      </c>
      <c r="Z26" s="66">
        <f>Tasas_Informalidad_Proy!F25</f>
        <v>71.016800000000003</v>
      </c>
      <c r="AA26" s="66">
        <f>Tasas_Informalidad_Proy!G25</f>
        <v>70.696299999999994</v>
      </c>
      <c r="AB26" s="66">
        <f>Tasas_Informalidad_Proy!H25</f>
        <v>70.377200000000002</v>
      </c>
      <c r="AC26" s="66">
        <f>Tasas_Informalidad_Proy!I25</f>
        <v>70.0595</v>
      </c>
      <c r="AD26" s="66">
        <f>Tasas_Informalidad_Proy!J25</f>
        <v>69.743300000000005</v>
      </c>
      <c r="AE26" s="66">
        <f>Tasas_Informalidad_Proy!K25</f>
        <v>69.4285</v>
      </c>
      <c r="AF26" s="66">
        <f>Tasas_Informalidad_Proy!L25</f>
        <v>69.115200000000002</v>
      </c>
      <c r="AG26" s="66">
        <f>Tasas_Informalidad_Proy!M25</f>
        <v>68.803200000000004</v>
      </c>
      <c r="AH26" s="66">
        <f>Tasas_Informalidad_Proy!N25</f>
        <v>68.492699999999999</v>
      </c>
      <c r="AI26" s="66">
        <f>Tasas_Informalidad_Proy!O25</f>
        <v>68.183499999999995</v>
      </c>
      <c r="AJ26" s="66">
        <f>Tasas_Informalidad_Proy!P25</f>
        <v>67.875799999999998</v>
      </c>
      <c r="AK26" s="66">
        <f>Tasas_Informalidad_Proy!Q25</f>
        <v>67.569400000000002</v>
      </c>
      <c r="AL26" s="66">
        <f>Tasas_Informalidad_Proy!R25</f>
        <v>67.264399999999995</v>
      </c>
    </row>
    <row r="27" spans="1:38" ht="18" customHeight="1" x14ac:dyDescent="0.25">
      <c r="A27" s="38" t="str">
        <f>'Historico_GEIH_2007-2026'!A26</f>
        <v>Santa Marta</v>
      </c>
      <c r="B27" s="65">
        <f>'Historico_GEIH_2007-2026'!B26</f>
        <v>64.2</v>
      </c>
      <c r="C27" s="65">
        <f>'Historico_GEIH_2007-2026'!C26</f>
        <v>63.5</v>
      </c>
      <c r="D27" s="65">
        <f>'Historico_GEIH_2007-2026'!D26</f>
        <v>62.8</v>
      </c>
      <c r="E27" s="65">
        <f>'Historico_GEIH_2007-2026'!E26</f>
        <v>62.2</v>
      </c>
      <c r="F27" s="65">
        <f>'Historico_GEIH_2007-2026'!F26</f>
        <v>61.5</v>
      </c>
      <c r="G27" s="65">
        <f>'Historico_GEIH_2007-2026'!G26</f>
        <v>60.9</v>
      </c>
      <c r="H27" s="65">
        <f>'Historico_GEIH_2007-2026'!H26</f>
        <v>60.4</v>
      </c>
      <c r="I27" s="65">
        <f>'Historico_GEIH_2007-2026'!I26</f>
        <v>60.2</v>
      </c>
      <c r="J27" s="65">
        <f>'Historico_GEIH_2007-2026'!J26</f>
        <v>59.9</v>
      </c>
      <c r="K27" s="65">
        <f>'Historico_GEIH_2007-2026'!K26</f>
        <v>59.5</v>
      </c>
      <c r="L27" s="65">
        <f>'Historico_GEIH_2007-2026'!L26</f>
        <v>59.1</v>
      </c>
      <c r="M27" s="65">
        <f>'Historico_GEIH_2007-2026'!M26</f>
        <v>58.7</v>
      </c>
      <c r="N27" s="65">
        <f>'Historico_GEIH_2007-2026'!N26</f>
        <v>58.2</v>
      </c>
      <c r="O27" s="65">
        <f>'Historico_GEIH_2007-2026'!O26</f>
        <v>62</v>
      </c>
      <c r="P27" s="65">
        <f>'Historico_GEIH_2007-2026'!P26</f>
        <v>60.8</v>
      </c>
      <c r="Q27" s="65">
        <f>'Historico_GEIH_2007-2026'!Q26</f>
        <v>59.7</v>
      </c>
      <c r="R27" s="65">
        <f>'Historico_GEIH_2007-2026'!R26</f>
        <v>58.9</v>
      </c>
      <c r="S27" s="65">
        <f>'Historico_GEIH_2007-2026'!S26</f>
        <v>58.4</v>
      </c>
      <c r="T27" s="65">
        <f>'Historico_GEIH_2007-2026'!T26</f>
        <v>58.768599999999999</v>
      </c>
      <c r="U27" s="65">
        <f>'Historico_GEIH_2007-2026'!U26</f>
        <v>59.950800000000001</v>
      </c>
      <c r="V27" s="65">
        <f>Tasas_Informalidad_Proy!B26</f>
        <v>57.702300000000001</v>
      </c>
      <c r="W27" s="65">
        <f>Tasas_Informalidad_Proy!C26</f>
        <v>57.382399999999997</v>
      </c>
      <c r="X27" s="65">
        <f>Tasas_Informalidad_Proy!D26</f>
        <v>57.0642</v>
      </c>
      <c r="Y27" s="65">
        <f>Tasas_Informalidad_Proy!E26</f>
        <v>56.747799999999998</v>
      </c>
      <c r="Z27" s="65">
        <f>Tasas_Informalidad_Proy!F26</f>
        <v>56.433199999999999</v>
      </c>
      <c r="AA27" s="65">
        <f>Tasas_Informalidad_Proy!G26</f>
        <v>56.120199999999997</v>
      </c>
      <c r="AB27" s="65">
        <f>Tasas_Informalidad_Proy!H26</f>
        <v>55.809100000000001</v>
      </c>
      <c r="AC27" s="65">
        <f>Tasas_Informalidad_Proy!I26</f>
        <v>55.499600000000001</v>
      </c>
      <c r="AD27" s="65">
        <f>Tasas_Informalidad_Proy!J26</f>
        <v>55.191899999999997</v>
      </c>
      <c r="AE27" s="65">
        <f>Tasas_Informalidad_Proy!K26</f>
        <v>54.885899999999999</v>
      </c>
      <c r="AF27" s="65">
        <f>Tasas_Informalidad_Proy!L26</f>
        <v>54.581600000000002</v>
      </c>
      <c r="AG27" s="65">
        <f>Tasas_Informalidad_Proy!M26</f>
        <v>54.2789</v>
      </c>
      <c r="AH27" s="65">
        <f>Tasas_Informalidad_Proy!N26</f>
        <v>53.978000000000002</v>
      </c>
      <c r="AI27" s="65">
        <f>Tasas_Informalidad_Proy!O26</f>
        <v>53.678699999999999</v>
      </c>
      <c r="AJ27" s="65">
        <f>Tasas_Informalidad_Proy!P26</f>
        <v>53.381</v>
      </c>
      <c r="AK27" s="65">
        <f>Tasas_Informalidad_Proy!Q26</f>
        <v>53.085099999999997</v>
      </c>
      <c r="AL27" s="65">
        <f>Tasas_Informalidad_Proy!R26</f>
        <v>52.790700000000001</v>
      </c>
    </row>
    <row r="28" spans="1:38" ht="18" customHeight="1" x14ac:dyDescent="0.25">
      <c r="A28" s="39" t="str">
        <f>'Historico_GEIH_2007-2026'!A27</f>
        <v>Armenia</v>
      </c>
      <c r="B28" s="66">
        <f>'Historico_GEIH_2007-2026'!B27</f>
        <v>60.5</v>
      </c>
      <c r="C28" s="66">
        <f>'Historico_GEIH_2007-2026'!C27</f>
        <v>59.8</v>
      </c>
      <c r="D28" s="66">
        <f>'Historico_GEIH_2007-2026'!D27</f>
        <v>59.1</v>
      </c>
      <c r="E28" s="66">
        <f>'Historico_GEIH_2007-2026'!E27</f>
        <v>58.5</v>
      </c>
      <c r="F28" s="66">
        <f>'Historico_GEIH_2007-2026'!F27</f>
        <v>57.8</v>
      </c>
      <c r="G28" s="66">
        <f>'Historico_GEIH_2007-2026'!G27</f>
        <v>57.2</v>
      </c>
      <c r="H28" s="66">
        <f>'Historico_GEIH_2007-2026'!H27</f>
        <v>56.7</v>
      </c>
      <c r="I28" s="66">
        <f>'Historico_GEIH_2007-2026'!I27</f>
        <v>56.5</v>
      </c>
      <c r="J28" s="66">
        <f>'Historico_GEIH_2007-2026'!J27</f>
        <v>56.2</v>
      </c>
      <c r="K28" s="66">
        <f>'Historico_GEIH_2007-2026'!K27</f>
        <v>55.8</v>
      </c>
      <c r="L28" s="66">
        <f>'Historico_GEIH_2007-2026'!L27</f>
        <v>55.4</v>
      </c>
      <c r="M28" s="66">
        <f>'Historico_GEIH_2007-2026'!M27</f>
        <v>55</v>
      </c>
      <c r="N28" s="66">
        <f>'Historico_GEIH_2007-2026'!N27</f>
        <v>54.5</v>
      </c>
      <c r="O28" s="66">
        <f>'Historico_GEIH_2007-2026'!O27</f>
        <v>58.1</v>
      </c>
      <c r="P28" s="66">
        <f>'Historico_GEIH_2007-2026'!P27</f>
        <v>56.9</v>
      </c>
      <c r="Q28" s="66">
        <f>'Historico_GEIH_2007-2026'!Q27</f>
        <v>55.8</v>
      </c>
      <c r="R28" s="66">
        <f>'Historico_GEIH_2007-2026'!R27</f>
        <v>55</v>
      </c>
      <c r="S28" s="66">
        <f>'Historico_GEIH_2007-2026'!S27</f>
        <v>54.5</v>
      </c>
      <c r="T28" s="66">
        <f>'Historico_GEIH_2007-2026'!T27</f>
        <v>43.815899999999999</v>
      </c>
      <c r="U28" s="66">
        <f>'Historico_GEIH_2007-2026'!U27</f>
        <v>43.370800000000003</v>
      </c>
      <c r="V28" s="66">
        <f>Tasas_Informalidad_Proy!B27</f>
        <v>53.908200000000001</v>
      </c>
      <c r="W28" s="66">
        <f>Tasas_Informalidad_Proy!C27</f>
        <v>53.585000000000001</v>
      </c>
      <c r="X28" s="66">
        <f>Tasas_Informalidad_Proy!D27</f>
        <v>53.2637</v>
      </c>
      <c r="Y28" s="66">
        <f>Tasas_Informalidad_Proy!E27</f>
        <v>52.944299999999998</v>
      </c>
      <c r="Z28" s="66">
        <f>Tasas_Informalidad_Proy!F27</f>
        <v>52.626800000000003</v>
      </c>
      <c r="AA28" s="66">
        <f>Tasas_Informalidad_Proy!G27</f>
        <v>52.311199999999999</v>
      </c>
      <c r="AB28" s="66">
        <f>Tasas_Informalidad_Proy!H27</f>
        <v>51.997599999999998</v>
      </c>
      <c r="AC28" s="66">
        <f>Tasas_Informalidad_Proy!I27</f>
        <v>51.6858</v>
      </c>
      <c r="AD28" s="66">
        <f>Tasas_Informalidad_Proy!J27</f>
        <v>51.375799999999998</v>
      </c>
      <c r="AE28" s="66">
        <f>Tasas_Informalidad_Proy!K27</f>
        <v>51.067799999999998</v>
      </c>
      <c r="AF28" s="66">
        <f>Tasas_Informalidad_Proy!L27</f>
        <v>50.761600000000001</v>
      </c>
      <c r="AG28" s="66">
        <f>Tasas_Informalidad_Proy!M27</f>
        <v>50.4572</v>
      </c>
      <c r="AH28" s="66">
        <f>Tasas_Informalidad_Proy!N27</f>
        <v>50.154600000000002</v>
      </c>
      <c r="AI28" s="66">
        <f>Tasas_Informalidad_Proy!O27</f>
        <v>49.853900000000003</v>
      </c>
      <c r="AJ28" s="66">
        <f>Tasas_Informalidad_Proy!P27</f>
        <v>49.554900000000004</v>
      </c>
      <c r="AK28" s="66">
        <f>Tasas_Informalidad_Proy!Q27</f>
        <v>49.257800000000003</v>
      </c>
      <c r="AL28" s="66">
        <f>Tasas_Informalidad_Proy!R27</f>
        <v>48.962400000000002</v>
      </c>
    </row>
    <row r="29" spans="1:38" ht="18" customHeight="1" x14ac:dyDescent="0.25">
      <c r="A29" s="38" t="str">
        <f>'Historico_GEIH_2007-2026'!A28</f>
        <v>Sincelejo</v>
      </c>
      <c r="B29" s="65">
        <f>'Historico_GEIH_2007-2026'!B28</f>
        <v>73.900000000000006</v>
      </c>
      <c r="C29" s="65">
        <f>'Historico_GEIH_2007-2026'!C28</f>
        <v>73.2</v>
      </c>
      <c r="D29" s="65">
        <f>'Historico_GEIH_2007-2026'!D28</f>
        <v>72.5</v>
      </c>
      <c r="E29" s="65">
        <f>'Historico_GEIH_2007-2026'!E28</f>
        <v>71.900000000000006</v>
      </c>
      <c r="F29" s="65">
        <f>'Historico_GEIH_2007-2026'!F28</f>
        <v>71.2</v>
      </c>
      <c r="G29" s="65">
        <f>'Historico_GEIH_2007-2026'!G28</f>
        <v>70.5</v>
      </c>
      <c r="H29" s="65">
        <f>'Historico_GEIH_2007-2026'!H28</f>
        <v>70.099999999999994</v>
      </c>
      <c r="I29" s="65">
        <f>'Historico_GEIH_2007-2026'!I28</f>
        <v>69.8</v>
      </c>
      <c r="J29" s="65">
        <f>'Historico_GEIH_2007-2026'!J28</f>
        <v>69.5</v>
      </c>
      <c r="K29" s="65">
        <f>'Historico_GEIH_2007-2026'!K28</f>
        <v>69.099999999999994</v>
      </c>
      <c r="L29" s="65">
        <f>'Historico_GEIH_2007-2026'!L28</f>
        <v>68.7</v>
      </c>
      <c r="M29" s="65">
        <f>'Historico_GEIH_2007-2026'!M28</f>
        <v>68.3</v>
      </c>
      <c r="N29" s="65">
        <f>'Historico_GEIH_2007-2026'!N28</f>
        <v>67.8</v>
      </c>
      <c r="O29" s="65">
        <f>'Historico_GEIH_2007-2026'!O28</f>
        <v>71.5</v>
      </c>
      <c r="P29" s="65">
        <f>'Historico_GEIH_2007-2026'!P28</f>
        <v>70.5</v>
      </c>
      <c r="Q29" s="65">
        <f>'Historico_GEIH_2007-2026'!Q28</f>
        <v>69.3</v>
      </c>
      <c r="R29" s="65">
        <f>'Historico_GEIH_2007-2026'!R28</f>
        <v>68.5</v>
      </c>
      <c r="S29" s="65">
        <f>'Historico_GEIH_2007-2026'!S28</f>
        <v>68.099999999999994</v>
      </c>
      <c r="T29" s="65">
        <f>'Historico_GEIH_2007-2026'!T28</f>
        <v>68.558000000000007</v>
      </c>
      <c r="U29" s="65">
        <f>'Historico_GEIH_2007-2026'!U28</f>
        <v>67.237799999999993</v>
      </c>
      <c r="V29" s="65">
        <f>Tasas_Informalidad_Proy!B28</f>
        <v>67.290700000000001</v>
      </c>
      <c r="W29" s="65">
        <f>Tasas_Informalidad_Proy!C28</f>
        <v>66.963700000000003</v>
      </c>
      <c r="X29" s="65">
        <f>Tasas_Informalidad_Proy!D28</f>
        <v>66.638300000000001</v>
      </c>
      <c r="Y29" s="65">
        <f>Tasas_Informalidad_Proy!E28</f>
        <v>66.314499999999995</v>
      </c>
      <c r="Z29" s="65">
        <f>Tasas_Informalidad_Proy!F28</f>
        <v>65.9923</v>
      </c>
      <c r="AA29" s="65">
        <f>Tasas_Informalidad_Proy!G28</f>
        <v>65.671599999999998</v>
      </c>
      <c r="AB29" s="65">
        <f>Tasas_Informalidad_Proy!H28</f>
        <v>65.352500000000006</v>
      </c>
      <c r="AC29" s="65">
        <f>Tasas_Informalidad_Proy!I28</f>
        <v>65.034999999999997</v>
      </c>
      <c r="AD29" s="65">
        <f>Tasas_Informalidad_Proy!J28</f>
        <v>64.718999999999994</v>
      </c>
      <c r="AE29" s="65">
        <f>Tasas_Informalidad_Proy!K28</f>
        <v>64.404499999999999</v>
      </c>
      <c r="AF29" s="65">
        <f>Tasas_Informalidad_Proy!L28</f>
        <v>64.0916</v>
      </c>
      <c r="AG29" s="65">
        <f>Tasas_Informalidad_Proy!M28</f>
        <v>63.780099999999997</v>
      </c>
      <c r="AH29" s="65">
        <f>Tasas_Informalidad_Proy!N28</f>
        <v>63.470199999999998</v>
      </c>
      <c r="AI29" s="65">
        <f>Tasas_Informalidad_Proy!O28</f>
        <v>63.161799999999999</v>
      </c>
      <c r="AJ29" s="65">
        <f>Tasas_Informalidad_Proy!P28</f>
        <v>62.854900000000001</v>
      </c>
      <c r="AK29" s="65">
        <f>Tasas_Informalidad_Proy!Q28</f>
        <v>62.549500000000002</v>
      </c>
      <c r="AL29" s="65">
        <f>Tasas_Informalidad_Proy!R28</f>
        <v>62.245600000000003</v>
      </c>
    </row>
    <row r="30" spans="1:38" ht="6" customHeight="1" x14ac:dyDescent="0.25"/>
    <row r="32" spans="1:38" ht="21.95" customHeight="1" x14ac:dyDescent="0.25">
      <c r="A32" s="40" t="str">
        <f>'Historico_GEIH_2007-2026'!A31</f>
        <v>Índice κₜ Lee-Carter (histórico)</v>
      </c>
      <c r="B32" s="41">
        <f>'Historico_GEIH_2007-2026'!B31</f>
        <v>1.357218</v>
      </c>
      <c r="C32" s="41">
        <f>'Historico_GEIH_2007-2026'!C31</f>
        <v>1.12127</v>
      </c>
      <c r="D32" s="41">
        <f>'Historico_GEIH_2007-2026'!D31</f>
        <v>0.89073500000000005</v>
      </c>
      <c r="E32" s="41">
        <f>'Historico_GEIH_2007-2026'!E31</f>
        <v>0.66238300000000006</v>
      </c>
      <c r="F32" s="41">
        <f>'Historico_GEIH_2007-2026'!F31</f>
        <v>0.41775800000000002</v>
      </c>
      <c r="G32" s="41">
        <f>'Historico_GEIH_2007-2026'!G31</f>
        <v>0.16359899999999999</v>
      </c>
      <c r="H32" s="41">
        <f>'Historico_GEIH_2007-2026'!H31</f>
        <v>-3.1979E-2</v>
      </c>
      <c r="I32" s="41">
        <f>'Historico_GEIH_2007-2026'!I31</f>
        <v>-0.13275500000000001</v>
      </c>
      <c r="J32" s="41">
        <f>'Historico_GEIH_2007-2026'!J31</f>
        <v>-0.246582</v>
      </c>
      <c r="K32" s="41">
        <f>'Historico_GEIH_2007-2026'!K31</f>
        <v>-0.40215299999999998</v>
      </c>
      <c r="L32" s="41">
        <f>'Historico_GEIH_2007-2026'!L31</f>
        <v>-0.56822899999999998</v>
      </c>
      <c r="M32" s="41">
        <f>'Historico_GEIH_2007-2026'!M31</f>
        <v>-0.72806999999999999</v>
      </c>
      <c r="N32" s="41">
        <f>'Historico_GEIH_2007-2026'!N31</f>
        <v>-0.91881199999999996</v>
      </c>
      <c r="O32" s="41">
        <f>'Historico_GEIH_2007-2026'!O31</f>
        <v>0.44356899999999999</v>
      </c>
      <c r="P32" s="41">
        <f>'Historico_GEIH_2007-2026'!P31</f>
        <v>7.6169999999999996E-3</v>
      </c>
      <c r="Q32" s="41">
        <f>'Historico_GEIH_2007-2026'!Q31</f>
        <v>-0.427199</v>
      </c>
      <c r="R32" s="41">
        <f>'Historico_GEIH_2007-2026'!R31</f>
        <v>-0.71319699999999997</v>
      </c>
      <c r="S32" s="41">
        <f>'Historico_GEIH_2007-2026'!S31</f>
        <v>-0.89517199999999997</v>
      </c>
      <c r="T32" s="41">
        <f>'Historico_GEIH_2007-2026'!T31</f>
        <v>-4.7149617396535248</v>
      </c>
      <c r="U32" s="41">
        <f>'Historico_GEIH_2007-2026'!U31</f>
        <v>-5.6456896370128602</v>
      </c>
      <c r="V32" s="42"/>
      <c r="W32" s="42"/>
      <c r="X32" s="42"/>
      <c r="Y32" s="42"/>
      <c r="Z32" s="42"/>
      <c r="AA32" s="42"/>
      <c r="AB32" s="42"/>
      <c r="AC32" s="42"/>
      <c r="AD32" s="42"/>
      <c r="AE32" s="42"/>
      <c r="AF32" s="42"/>
      <c r="AG32" s="42"/>
      <c r="AH32" s="42"/>
      <c r="AI32" s="42"/>
      <c r="AJ32" s="42"/>
      <c r="AK32" s="42"/>
      <c r="AL32" s="42"/>
    </row>
  </sheetData>
  <mergeCells count="5">
    <mergeCell ref="A5:A6"/>
    <mergeCell ref="A1:AL2"/>
    <mergeCell ref="A3:AL3"/>
    <mergeCell ref="B5:U5"/>
    <mergeCell ref="V5:AL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392B"/>
  </sheetPr>
  <dimension ref="A1:M18"/>
  <sheetViews>
    <sheetView showGridLines="0" workbookViewId="0">
      <selection sqref="A1:M8"/>
    </sheetView>
  </sheetViews>
  <sheetFormatPr baseColWidth="10" defaultColWidth="8.7109375" defaultRowHeight="15" x14ac:dyDescent="0.25"/>
  <cols>
    <col min="1" max="1" width="3" customWidth="1"/>
    <col min="2" max="2" width="30" customWidth="1"/>
    <col min="3" max="3" width="3" customWidth="1"/>
    <col min="4" max="4" width="55" customWidth="1"/>
  </cols>
  <sheetData>
    <row r="1" spans="1:13" ht="30" customHeight="1" x14ac:dyDescent="0.25">
      <c r="A1" s="48" t="s">
        <v>0</v>
      </c>
      <c r="B1" s="44"/>
      <c r="C1" s="44"/>
      <c r="D1" s="44"/>
      <c r="E1" s="44"/>
      <c r="F1" s="44"/>
      <c r="G1" s="44"/>
      <c r="H1" s="44"/>
      <c r="I1" s="44"/>
      <c r="J1" s="44"/>
      <c r="K1" s="44"/>
      <c r="L1" s="44"/>
      <c r="M1" s="44"/>
    </row>
    <row r="2" spans="1:13" x14ac:dyDescent="0.25">
      <c r="A2" s="44"/>
      <c r="B2" s="49"/>
      <c r="C2" s="49"/>
      <c r="D2" s="49"/>
      <c r="E2" s="49"/>
      <c r="F2" s="49"/>
      <c r="G2" s="49"/>
      <c r="H2" s="49"/>
      <c r="I2" s="49"/>
      <c r="J2" s="49"/>
      <c r="K2" s="49"/>
      <c r="L2" s="49"/>
      <c r="M2" s="44"/>
    </row>
    <row r="3" spans="1:13" x14ac:dyDescent="0.25">
      <c r="A3" s="44"/>
      <c r="B3" s="49"/>
      <c r="C3" s="49"/>
      <c r="D3" s="49"/>
      <c r="E3" s="49"/>
      <c r="F3" s="49"/>
      <c r="G3" s="49"/>
      <c r="H3" s="49"/>
      <c r="I3" s="49"/>
      <c r="J3" s="49"/>
      <c r="K3" s="49"/>
      <c r="L3" s="49"/>
      <c r="M3" s="44"/>
    </row>
    <row r="4" spans="1:13" x14ac:dyDescent="0.25">
      <c r="A4" s="44"/>
      <c r="B4" s="49"/>
      <c r="C4" s="49"/>
      <c r="D4" s="49"/>
      <c r="E4" s="49"/>
      <c r="F4" s="49"/>
      <c r="G4" s="49"/>
      <c r="H4" s="49"/>
      <c r="I4" s="49"/>
      <c r="J4" s="49"/>
      <c r="K4" s="49"/>
      <c r="L4" s="49"/>
      <c r="M4" s="44"/>
    </row>
    <row r="5" spans="1:13" x14ac:dyDescent="0.25">
      <c r="A5" s="44"/>
      <c r="B5" s="49"/>
      <c r="C5" s="49"/>
      <c r="D5" s="49"/>
      <c r="E5" s="49"/>
      <c r="F5" s="49"/>
      <c r="G5" s="49"/>
      <c r="H5" s="49"/>
      <c r="I5" s="49"/>
      <c r="J5" s="49"/>
      <c r="K5" s="49"/>
      <c r="L5" s="49"/>
      <c r="M5" s="44"/>
    </row>
    <row r="6" spans="1:13" x14ac:dyDescent="0.25">
      <c r="A6" s="44"/>
      <c r="B6" s="49"/>
      <c r="C6" s="49"/>
      <c r="D6" s="49"/>
      <c r="E6" s="49"/>
      <c r="F6" s="49"/>
      <c r="G6" s="49"/>
      <c r="H6" s="49"/>
      <c r="I6" s="49"/>
      <c r="J6" s="49"/>
      <c r="K6" s="49"/>
      <c r="L6" s="49"/>
      <c r="M6" s="44"/>
    </row>
    <row r="7" spans="1:13" x14ac:dyDescent="0.25">
      <c r="A7" s="44"/>
      <c r="B7" s="49"/>
      <c r="C7" s="49"/>
      <c r="D7" s="49"/>
      <c r="E7" s="49"/>
      <c r="F7" s="49"/>
      <c r="G7" s="49"/>
      <c r="H7" s="49"/>
      <c r="I7" s="49"/>
      <c r="J7" s="49"/>
      <c r="K7" s="49"/>
      <c r="L7" s="49"/>
      <c r="M7" s="44"/>
    </row>
    <row r="8" spans="1:13" x14ac:dyDescent="0.25">
      <c r="A8" s="44"/>
      <c r="B8" s="44"/>
      <c r="C8" s="44"/>
      <c r="D8" s="44"/>
      <c r="E8" s="44"/>
      <c r="F8" s="44"/>
      <c r="G8" s="44"/>
      <c r="H8" s="44"/>
      <c r="I8" s="44"/>
      <c r="J8" s="44"/>
      <c r="K8" s="44"/>
      <c r="L8" s="44"/>
      <c r="M8" s="44"/>
    </row>
    <row r="10" spans="1:13" ht="18" customHeight="1" x14ac:dyDescent="0.25">
      <c r="B10" s="3" t="s">
        <v>1</v>
      </c>
      <c r="D10" s="4" t="s">
        <v>2</v>
      </c>
    </row>
    <row r="11" spans="1:13" ht="18" customHeight="1" x14ac:dyDescent="0.25">
      <c r="B11" s="3" t="s">
        <v>3</v>
      </c>
      <c r="D11" s="4" t="s">
        <v>4</v>
      </c>
    </row>
    <row r="12" spans="1:13" ht="18" customHeight="1" x14ac:dyDescent="0.25">
      <c r="B12" s="3" t="s">
        <v>5</v>
      </c>
      <c r="D12" s="4" t="s">
        <v>6</v>
      </c>
    </row>
    <row r="13" spans="1:13" ht="18" customHeight="1" x14ac:dyDescent="0.25">
      <c r="B13" s="3" t="s">
        <v>7</v>
      </c>
      <c r="D13" s="4" t="s">
        <v>8</v>
      </c>
    </row>
    <row r="14" spans="1:13" ht="18" customHeight="1" x14ac:dyDescent="0.25">
      <c r="B14" s="3" t="s">
        <v>9</v>
      </c>
      <c r="D14" s="4" t="s">
        <v>10</v>
      </c>
    </row>
    <row r="15" spans="1:13" ht="18" customHeight="1" x14ac:dyDescent="0.25">
      <c r="B15" s="3" t="s">
        <v>11</v>
      </c>
      <c r="D15" s="4" t="s">
        <v>12</v>
      </c>
    </row>
    <row r="16" spans="1:13" ht="18" customHeight="1" x14ac:dyDescent="0.25">
      <c r="B16" s="3" t="s">
        <v>13</v>
      </c>
      <c r="D16" s="4" t="s">
        <v>14</v>
      </c>
    </row>
    <row r="17" spans="2:4" ht="18" customHeight="1" x14ac:dyDescent="0.25">
      <c r="B17" s="3" t="s">
        <v>15</v>
      </c>
      <c r="D17" s="4" t="s">
        <v>16</v>
      </c>
    </row>
    <row r="18" spans="2:4" ht="18" customHeight="1" x14ac:dyDescent="0.25">
      <c r="B18" s="3" t="s">
        <v>17</v>
      </c>
      <c r="D18" s="4" t="s">
        <v>18</v>
      </c>
    </row>
  </sheetData>
  <mergeCells count="1">
    <mergeCell ref="A1:M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980B9"/>
  </sheetPr>
  <dimension ref="A1:R28"/>
  <sheetViews>
    <sheetView showGridLines="0" workbookViewId="0">
      <selection sqref="A1:R2"/>
    </sheetView>
  </sheetViews>
  <sheetFormatPr baseColWidth="10" defaultColWidth="8.7109375" defaultRowHeight="15" x14ac:dyDescent="0.25"/>
  <cols>
    <col min="1" max="1" width="22" customWidth="1"/>
    <col min="2" max="18" width="9" customWidth="1"/>
  </cols>
  <sheetData>
    <row r="1" spans="1:18" ht="30" customHeight="1" x14ac:dyDescent="0.25">
      <c r="A1" s="51" t="s">
        <v>19</v>
      </c>
      <c r="B1" s="44"/>
      <c r="C1" s="44"/>
      <c r="D1" s="44"/>
      <c r="E1" s="44"/>
      <c r="F1" s="44"/>
      <c r="G1" s="44"/>
      <c r="H1" s="44"/>
      <c r="I1" s="44"/>
      <c r="J1" s="44"/>
      <c r="K1" s="44"/>
      <c r="L1" s="44"/>
      <c r="M1" s="44"/>
      <c r="N1" s="44"/>
      <c r="O1" s="44"/>
      <c r="P1" s="44"/>
      <c r="Q1" s="44"/>
      <c r="R1" s="44"/>
    </row>
    <row r="2" spans="1:18" x14ac:dyDescent="0.25">
      <c r="A2" s="44"/>
      <c r="B2" s="44"/>
      <c r="C2" s="44"/>
      <c r="D2" s="44"/>
      <c r="E2" s="44"/>
      <c r="F2" s="44"/>
      <c r="G2" s="44"/>
      <c r="H2" s="44"/>
      <c r="I2" s="44"/>
      <c r="J2" s="44"/>
      <c r="K2" s="44"/>
      <c r="L2" s="44"/>
      <c r="M2" s="44"/>
      <c r="N2" s="44"/>
      <c r="O2" s="44"/>
      <c r="P2" s="44"/>
      <c r="Q2" s="44"/>
      <c r="R2" s="44"/>
    </row>
    <row r="3" spans="1:18" x14ac:dyDescent="0.25">
      <c r="A3" s="50" t="s">
        <v>20</v>
      </c>
      <c r="B3" s="44"/>
      <c r="C3" s="44"/>
      <c r="D3" s="44"/>
      <c r="E3" s="44"/>
      <c r="F3" s="44"/>
      <c r="G3" s="44"/>
      <c r="H3" s="44"/>
      <c r="I3" s="44"/>
      <c r="J3" s="44"/>
      <c r="K3" s="44"/>
      <c r="L3" s="44"/>
      <c r="M3" s="44"/>
      <c r="N3" s="44"/>
      <c r="O3" s="44"/>
      <c r="P3" s="44"/>
      <c r="Q3" s="44"/>
      <c r="R3" s="44"/>
    </row>
    <row r="5" spans="1:18" ht="21.75" customHeight="1" x14ac:dyDescent="0.25">
      <c r="A5" s="5" t="s">
        <v>21</v>
      </c>
      <c r="B5" s="5" t="s">
        <v>22</v>
      </c>
      <c r="C5" s="5" t="s">
        <v>23</v>
      </c>
      <c r="D5" s="5" t="s">
        <v>24</v>
      </c>
      <c r="E5" s="5" t="s">
        <v>25</v>
      </c>
      <c r="F5" s="5" t="s">
        <v>26</v>
      </c>
      <c r="G5" s="5" t="s">
        <v>27</v>
      </c>
      <c r="H5" s="5" t="s">
        <v>28</v>
      </c>
      <c r="I5" s="5" t="s">
        <v>29</v>
      </c>
      <c r="J5" s="5" t="s">
        <v>30</v>
      </c>
      <c r="K5" s="5" t="s">
        <v>31</v>
      </c>
      <c r="L5" s="5" t="s">
        <v>32</v>
      </c>
      <c r="M5" s="5" t="s">
        <v>33</v>
      </c>
      <c r="N5" s="5" t="s">
        <v>34</v>
      </c>
      <c r="O5" s="5" t="s">
        <v>35</v>
      </c>
      <c r="P5" s="5" t="s">
        <v>36</v>
      </c>
      <c r="Q5" s="5" t="s">
        <v>37</v>
      </c>
      <c r="R5" s="5" t="s">
        <v>38</v>
      </c>
    </row>
    <row r="6" spans="1:18" ht="15.75" customHeight="1" x14ac:dyDescent="0.25">
      <c r="A6" s="6" t="s">
        <v>39</v>
      </c>
      <c r="B6" s="7">
        <v>41.394199999999998</v>
      </c>
      <c r="C6" s="7">
        <v>41.072000000000003</v>
      </c>
      <c r="D6" s="7">
        <v>40.752299999999998</v>
      </c>
      <c r="E6" s="7">
        <v>40.435099999999998</v>
      </c>
      <c r="F6" s="7">
        <v>40.120399999999997</v>
      </c>
      <c r="G6" s="7">
        <v>39.808100000000003</v>
      </c>
      <c r="H6" s="7">
        <v>39.498199999999997</v>
      </c>
      <c r="I6" s="7">
        <v>39.190800000000003</v>
      </c>
      <c r="J6" s="7">
        <v>38.8857</v>
      </c>
      <c r="K6" s="7">
        <v>38.583100000000002</v>
      </c>
      <c r="L6" s="7">
        <v>38.282699999999998</v>
      </c>
      <c r="M6" s="7">
        <v>37.9848</v>
      </c>
      <c r="N6" s="7">
        <v>37.689100000000003</v>
      </c>
      <c r="O6" s="7">
        <v>37.395800000000001</v>
      </c>
      <c r="P6" s="7">
        <v>37.104700000000001</v>
      </c>
      <c r="Q6" s="7">
        <v>36.815899999999999</v>
      </c>
      <c r="R6" s="7">
        <v>36.529299999999999</v>
      </c>
    </row>
    <row r="7" spans="1:18" ht="15.75" customHeight="1" x14ac:dyDescent="0.25">
      <c r="A7" s="8" t="s">
        <v>40</v>
      </c>
      <c r="B7" s="9">
        <v>41.671300000000002</v>
      </c>
      <c r="C7" s="9">
        <v>41.261600000000001</v>
      </c>
      <c r="D7" s="9">
        <v>40.856099999999998</v>
      </c>
      <c r="E7" s="9">
        <v>40.454500000000003</v>
      </c>
      <c r="F7" s="9">
        <v>40.056800000000003</v>
      </c>
      <c r="G7" s="9">
        <v>39.6631</v>
      </c>
      <c r="H7" s="9">
        <v>39.273200000000003</v>
      </c>
      <c r="I7" s="9">
        <v>38.887099999999997</v>
      </c>
      <c r="J7" s="9">
        <v>38.504899999999999</v>
      </c>
      <c r="K7" s="9">
        <v>38.126399999999997</v>
      </c>
      <c r="L7" s="9">
        <v>37.751600000000003</v>
      </c>
      <c r="M7" s="9">
        <v>37.380499999999998</v>
      </c>
      <c r="N7" s="9">
        <v>37.013100000000001</v>
      </c>
      <c r="O7" s="9">
        <v>36.649299999999997</v>
      </c>
      <c r="P7" s="9">
        <v>36.289000000000001</v>
      </c>
      <c r="Q7" s="9">
        <v>35.932299999999998</v>
      </c>
      <c r="R7" s="9">
        <v>35.579099999999997</v>
      </c>
    </row>
    <row r="8" spans="1:18" ht="15.75" customHeight="1" x14ac:dyDescent="0.25">
      <c r="A8" s="6" t="s">
        <v>41</v>
      </c>
      <c r="B8" s="7">
        <v>48.813600000000001</v>
      </c>
      <c r="C8" s="7">
        <v>48.432699999999997</v>
      </c>
      <c r="D8" s="7">
        <v>48.0548</v>
      </c>
      <c r="E8" s="7">
        <v>47.6798</v>
      </c>
      <c r="F8" s="7">
        <v>47.3078</v>
      </c>
      <c r="G8" s="7">
        <v>46.938600000000001</v>
      </c>
      <c r="H8" s="7">
        <v>46.572400000000002</v>
      </c>
      <c r="I8" s="7">
        <v>46.209000000000003</v>
      </c>
      <c r="J8" s="7">
        <v>45.848399999999998</v>
      </c>
      <c r="K8" s="7">
        <v>45.490600000000001</v>
      </c>
      <c r="L8" s="7">
        <v>45.135599999999997</v>
      </c>
      <c r="M8" s="7">
        <v>44.783499999999997</v>
      </c>
      <c r="N8" s="7">
        <v>44.433999999999997</v>
      </c>
      <c r="O8" s="7">
        <v>44.087299999999999</v>
      </c>
      <c r="P8" s="7">
        <v>43.743299999999998</v>
      </c>
      <c r="Q8" s="7">
        <v>43.401899999999998</v>
      </c>
      <c r="R8" s="7">
        <v>43.063299999999998</v>
      </c>
    </row>
    <row r="9" spans="1:18" ht="15.75" customHeight="1" x14ac:dyDescent="0.25">
      <c r="A9" s="8" t="s">
        <v>42</v>
      </c>
      <c r="B9" s="9">
        <v>55.180399999999999</v>
      </c>
      <c r="C9" s="9">
        <v>54.851599999999998</v>
      </c>
      <c r="D9" s="9">
        <v>54.524799999999999</v>
      </c>
      <c r="E9" s="9">
        <v>54.1999</v>
      </c>
      <c r="F9" s="9">
        <v>53.876899999999999</v>
      </c>
      <c r="G9" s="9">
        <v>53.555799999999998</v>
      </c>
      <c r="H9" s="9">
        <v>53.236699999999999</v>
      </c>
      <c r="I9" s="9">
        <v>52.919499999999999</v>
      </c>
      <c r="J9" s="9">
        <v>52.604100000000003</v>
      </c>
      <c r="K9" s="9">
        <v>52.290700000000001</v>
      </c>
      <c r="L9" s="9">
        <v>51.979100000000003</v>
      </c>
      <c r="M9" s="9">
        <v>51.6693</v>
      </c>
      <c r="N9" s="9">
        <v>51.361400000000003</v>
      </c>
      <c r="O9" s="9">
        <v>51.055399999999999</v>
      </c>
      <c r="P9" s="9">
        <v>50.751100000000001</v>
      </c>
      <c r="Q9" s="9">
        <v>50.448700000000002</v>
      </c>
      <c r="R9" s="9">
        <v>50.148099999999999</v>
      </c>
    </row>
    <row r="10" spans="1:18" ht="15.75" customHeight="1" x14ac:dyDescent="0.25">
      <c r="A10" s="6" t="s">
        <v>43</v>
      </c>
      <c r="B10" s="7">
        <v>61.030500000000004</v>
      </c>
      <c r="C10" s="7">
        <v>60.6248</v>
      </c>
      <c r="D10" s="7">
        <v>60.221800000000002</v>
      </c>
      <c r="E10" s="7">
        <v>59.8215</v>
      </c>
      <c r="F10" s="7">
        <v>59.4238</v>
      </c>
      <c r="G10" s="7">
        <v>59.028799999999997</v>
      </c>
      <c r="H10" s="7">
        <v>58.636400000000002</v>
      </c>
      <c r="I10" s="7">
        <v>58.246600000000001</v>
      </c>
      <c r="J10" s="7">
        <v>57.859299999999998</v>
      </c>
      <c r="K10" s="7">
        <v>57.474699999999999</v>
      </c>
      <c r="L10" s="7">
        <v>57.092599999999997</v>
      </c>
      <c r="M10" s="7">
        <v>56.713099999999997</v>
      </c>
      <c r="N10" s="7">
        <v>56.336100000000002</v>
      </c>
      <c r="O10" s="7">
        <v>55.961599999999997</v>
      </c>
      <c r="P10" s="7">
        <v>55.589599999999997</v>
      </c>
      <c r="Q10" s="7">
        <v>55.22</v>
      </c>
      <c r="R10" s="7">
        <v>54.852899999999998</v>
      </c>
    </row>
    <row r="11" spans="1:18" ht="15.75" customHeight="1" x14ac:dyDescent="0.25">
      <c r="A11" s="8" t="s">
        <v>44</v>
      </c>
      <c r="B11" s="9">
        <v>48.596299999999999</v>
      </c>
      <c r="C11" s="9">
        <v>48.227400000000003</v>
      </c>
      <c r="D11" s="9">
        <v>47.861400000000003</v>
      </c>
      <c r="E11" s="9">
        <v>47.498100000000001</v>
      </c>
      <c r="F11" s="9">
        <v>47.137500000000003</v>
      </c>
      <c r="G11" s="9">
        <v>46.779699999999998</v>
      </c>
      <c r="H11" s="9">
        <v>46.424700000000001</v>
      </c>
      <c r="I11" s="9">
        <v>46.072299999999998</v>
      </c>
      <c r="J11" s="9">
        <v>45.7226</v>
      </c>
      <c r="K11" s="9">
        <v>45.375500000000002</v>
      </c>
      <c r="L11" s="9">
        <v>45.031100000000002</v>
      </c>
      <c r="M11" s="9">
        <v>44.689300000000003</v>
      </c>
      <c r="N11" s="9">
        <v>44.350099999999998</v>
      </c>
      <c r="O11" s="9">
        <v>44.013500000000001</v>
      </c>
      <c r="P11" s="9">
        <v>43.679400000000001</v>
      </c>
      <c r="Q11" s="9">
        <v>43.347799999999999</v>
      </c>
      <c r="R11" s="9">
        <v>43.018799999999999</v>
      </c>
    </row>
    <row r="12" spans="1:18" ht="15.75" customHeight="1" x14ac:dyDescent="0.25">
      <c r="A12" s="6" t="s">
        <v>45</v>
      </c>
      <c r="B12" s="7">
        <v>67.875399999999999</v>
      </c>
      <c r="C12" s="7">
        <v>67.582599999999999</v>
      </c>
      <c r="D12" s="7">
        <v>67.2911</v>
      </c>
      <c r="E12" s="7">
        <v>67.000799999999998</v>
      </c>
      <c r="F12" s="7">
        <v>66.711799999999997</v>
      </c>
      <c r="G12" s="7">
        <v>66.424099999999996</v>
      </c>
      <c r="H12" s="7">
        <v>66.137600000000006</v>
      </c>
      <c r="I12" s="7">
        <v>65.8523</v>
      </c>
      <c r="J12" s="7">
        <v>65.568200000000004</v>
      </c>
      <c r="K12" s="7">
        <v>65.285399999999996</v>
      </c>
      <c r="L12" s="7">
        <v>65.003799999999998</v>
      </c>
      <c r="M12" s="7">
        <v>64.723399999999998</v>
      </c>
      <c r="N12" s="7">
        <v>64.444199999999995</v>
      </c>
      <c r="O12" s="7">
        <v>64.166200000000003</v>
      </c>
      <c r="P12" s="7">
        <v>63.889400000000002</v>
      </c>
      <c r="Q12" s="7">
        <v>63.613900000000001</v>
      </c>
      <c r="R12" s="7">
        <v>63.339500000000001</v>
      </c>
    </row>
    <row r="13" spans="1:18" ht="15.75" customHeight="1" x14ac:dyDescent="0.25">
      <c r="A13" s="8" t="s">
        <v>46</v>
      </c>
      <c r="B13" s="9">
        <v>56.505600000000001</v>
      </c>
      <c r="C13" s="9">
        <v>56.1586</v>
      </c>
      <c r="D13" s="9">
        <v>55.813800000000001</v>
      </c>
      <c r="E13" s="9">
        <v>55.470999999999997</v>
      </c>
      <c r="F13" s="9">
        <v>55.130299999999998</v>
      </c>
      <c r="G13" s="9">
        <v>54.791800000000002</v>
      </c>
      <c r="H13" s="9">
        <v>54.455300000000001</v>
      </c>
      <c r="I13" s="9">
        <v>54.120899999999999</v>
      </c>
      <c r="J13" s="9">
        <v>53.788499999999999</v>
      </c>
      <c r="K13" s="9">
        <v>53.458199999999998</v>
      </c>
      <c r="L13" s="9">
        <v>53.129899999999999</v>
      </c>
      <c r="M13" s="9">
        <v>52.803600000000003</v>
      </c>
      <c r="N13" s="9">
        <v>52.479300000000002</v>
      </c>
      <c r="O13" s="9">
        <v>52.1571</v>
      </c>
      <c r="P13" s="9">
        <v>51.836799999999997</v>
      </c>
      <c r="Q13" s="9">
        <v>51.5184</v>
      </c>
      <c r="R13" s="9">
        <v>51.201999999999998</v>
      </c>
    </row>
    <row r="14" spans="1:18" ht="15.75" customHeight="1" x14ac:dyDescent="0.25">
      <c r="A14" s="6" t="s">
        <v>47</v>
      </c>
      <c r="B14" s="7">
        <v>69.036199999999994</v>
      </c>
      <c r="C14" s="7">
        <v>68.644999999999996</v>
      </c>
      <c r="D14" s="7">
        <v>68.256</v>
      </c>
      <c r="E14" s="7">
        <v>67.869299999999996</v>
      </c>
      <c r="F14" s="7">
        <v>67.484700000000004</v>
      </c>
      <c r="G14" s="7">
        <v>67.1023</v>
      </c>
      <c r="H14" s="7">
        <v>66.721999999999994</v>
      </c>
      <c r="I14" s="7">
        <v>66.343999999999994</v>
      </c>
      <c r="J14" s="7">
        <v>65.968000000000004</v>
      </c>
      <c r="K14" s="7">
        <v>65.594200000000001</v>
      </c>
      <c r="L14" s="7">
        <v>65.222499999999997</v>
      </c>
      <c r="M14" s="7">
        <v>64.852900000000005</v>
      </c>
      <c r="N14" s="7">
        <v>64.485500000000002</v>
      </c>
      <c r="O14" s="7">
        <v>64.120099999999994</v>
      </c>
      <c r="P14" s="7">
        <v>63.756700000000002</v>
      </c>
      <c r="Q14" s="7">
        <v>63.395400000000002</v>
      </c>
      <c r="R14" s="7">
        <v>63.036200000000001</v>
      </c>
    </row>
    <row r="15" spans="1:18" ht="15.75" customHeight="1" x14ac:dyDescent="0.25">
      <c r="A15" s="8" t="s">
        <v>48</v>
      </c>
      <c r="B15" s="9">
        <v>59.751800000000003</v>
      </c>
      <c r="C15" s="9">
        <v>59.4373</v>
      </c>
      <c r="D15" s="9">
        <v>59.124600000000001</v>
      </c>
      <c r="E15" s="9">
        <v>58.813400000000001</v>
      </c>
      <c r="F15" s="9">
        <v>58.503900000000002</v>
      </c>
      <c r="G15" s="9">
        <v>58.196100000000001</v>
      </c>
      <c r="H15" s="9">
        <v>57.889800000000001</v>
      </c>
      <c r="I15" s="9">
        <v>57.5852</v>
      </c>
      <c r="J15" s="9">
        <v>57.282200000000003</v>
      </c>
      <c r="K15" s="9">
        <v>56.980699999999999</v>
      </c>
      <c r="L15" s="9">
        <v>56.680900000000001</v>
      </c>
      <c r="M15" s="9">
        <v>56.382599999999996</v>
      </c>
      <c r="N15" s="9">
        <v>56.085900000000002</v>
      </c>
      <c r="O15" s="9">
        <v>55.790700000000001</v>
      </c>
      <c r="P15" s="9">
        <v>55.497199999999999</v>
      </c>
      <c r="Q15" s="9">
        <v>55.205100000000002</v>
      </c>
      <c r="R15" s="9">
        <v>54.9146</v>
      </c>
    </row>
    <row r="16" spans="1:18" ht="15.75" customHeight="1" x14ac:dyDescent="0.25">
      <c r="A16" s="6" t="s">
        <v>49</v>
      </c>
      <c r="B16" s="7">
        <v>73.328000000000003</v>
      </c>
      <c r="C16" s="7">
        <v>72.984499999999997</v>
      </c>
      <c r="D16" s="7">
        <v>72.642600000000002</v>
      </c>
      <c r="E16" s="7">
        <v>72.302300000000002</v>
      </c>
      <c r="F16" s="7">
        <v>71.9636</v>
      </c>
      <c r="G16" s="7">
        <v>71.626499999999993</v>
      </c>
      <c r="H16" s="7">
        <v>71.290899999999993</v>
      </c>
      <c r="I16" s="7">
        <v>70.956999999999994</v>
      </c>
      <c r="J16" s="7">
        <v>70.624600000000001</v>
      </c>
      <c r="K16" s="7">
        <v>70.293700000000001</v>
      </c>
      <c r="L16" s="7">
        <v>69.964399999999998</v>
      </c>
      <c r="M16" s="7">
        <v>69.636700000000005</v>
      </c>
      <c r="N16" s="7">
        <v>69.310400000000001</v>
      </c>
      <c r="O16" s="7">
        <v>68.985699999999994</v>
      </c>
      <c r="P16" s="7">
        <v>68.662599999999998</v>
      </c>
      <c r="Q16" s="7">
        <v>68.340900000000005</v>
      </c>
      <c r="R16" s="7">
        <v>68.020799999999994</v>
      </c>
    </row>
    <row r="17" spans="1:18" ht="15.75" customHeight="1" x14ac:dyDescent="0.25">
      <c r="A17" s="8" t="s">
        <v>50</v>
      </c>
      <c r="B17" s="9">
        <v>55.1</v>
      </c>
      <c r="C17" s="9">
        <v>54.784399999999998</v>
      </c>
      <c r="D17" s="9">
        <v>54.470700000000001</v>
      </c>
      <c r="E17" s="9">
        <v>54.158799999999999</v>
      </c>
      <c r="F17" s="9">
        <v>53.848700000000001</v>
      </c>
      <c r="G17" s="9">
        <v>53.540300000000002</v>
      </c>
      <c r="H17" s="9">
        <v>53.233699999999999</v>
      </c>
      <c r="I17" s="9">
        <v>52.928800000000003</v>
      </c>
      <c r="J17" s="9">
        <v>52.625700000000002</v>
      </c>
      <c r="K17" s="9">
        <v>52.324399999999997</v>
      </c>
      <c r="L17" s="9">
        <v>52.024700000000003</v>
      </c>
      <c r="M17" s="9">
        <v>51.726799999999997</v>
      </c>
      <c r="N17" s="9">
        <v>51.430599999999998</v>
      </c>
      <c r="O17" s="9">
        <v>51.136099999999999</v>
      </c>
      <c r="P17" s="9">
        <v>50.843299999999999</v>
      </c>
      <c r="Q17" s="9">
        <v>50.552100000000003</v>
      </c>
      <c r="R17" s="9">
        <v>50.262599999999999</v>
      </c>
    </row>
    <row r="18" spans="1:18" ht="15.75" customHeight="1" x14ac:dyDescent="0.25">
      <c r="A18" s="6" t="s">
        <v>51</v>
      </c>
      <c r="B18" s="7">
        <v>60.312600000000003</v>
      </c>
      <c r="C18" s="7">
        <v>59.988500000000002</v>
      </c>
      <c r="D18" s="7">
        <v>59.666200000000003</v>
      </c>
      <c r="E18" s="7">
        <v>59.345599999999997</v>
      </c>
      <c r="F18" s="7">
        <v>59.026800000000001</v>
      </c>
      <c r="G18" s="7">
        <v>58.709600000000002</v>
      </c>
      <c r="H18" s="7">
        <v>58.394199999999998</v>
      </c>
      <c r="I18" s="7">
        <v>58.080399999999997</v>
      </c>
      <c r="J18" s="7">
        <v>57.7684</v>
      </c>
      <c r="K18" s="7">
        <v>57.457999999999998</v>
      </c>
      <c r="L18" s="7">
        <v>57.149299999999997</v>
      </c>
      <c r="M18" s="7">
        <v>56.842199999999998</v>
      </c>
      <c r="N18" s="7">
        <v>56.536799999999999</v>
      </c>
      <c r="O18" s="7">
        <v>56.232999999999997</v>
      </c>
      <c r="P18" s="7">
        <v>55.930900000000001</v>
      </c>
      <c r="Q18" s="7">
        <v>55.630400000000002</v>
      </c>
      <c r="R18" s="7">
        <v>55.331499999999998</v>
      </c>
    </row>
    <row r="19" spans="1:18" ht="15.75" customHeight="1" x14ac:dyDescent="0.25">
      <c r="A19" s="8" t="s">
        <v>52</v>
      </c>
      <c r="B19" s="9">
        <v>60.179699999999997</v>
      </c>
      <c r="C19" s="9">
        <v>59.8688</v>
      </c>
      <c r="D19" s="9">
        <v>59.5595</v>
      </c>
      <c r="E19" s="9">
        <v>59.2517</v>
      </c>
      <c r="F19" s="9">
        <v>58.945599999999999</v>
      </c>
      <c r="G19" s="9">
        <v>58.640999999999998</v>
      </c>
      <c r="H19" s="9">
        <v>58.338000000000001</v>
      </c>
      <c r="I19" s="9">
        <v>58.0366</v>
      </c>
      <c r="J19" s="9">
        <v>57.736800000000002</v>
      </c>
      <c r="K19" s="9">
        <v>57.438400000000001</v>
      </c>
      <c r="L19" s="9">
        <v>57.1417</v>
      </c>
      <c r="M19" s="9">
        <v>56.846400000000003</v>
      </c>
      <c r="N19" s="9">
        <v>56.552700000000002</v>
      </c>
      <c r="O19" s="9">
        <v>56.2605</v>
      </c>
      <c r="P19" s="9">
        <v>55.969799999999999</v>
      </c>
      <c r="Q19" s="9">
        <v>55.680599999999998</v>
      </c>
      <c r="R19" s="9">
        <v>55.392899999999997</v>
      </c>
    </row>
    <row r="20" spans="1:18" ht="15.75" customHeight="1" x14ac:dyDescent="0.25">
      <c r="A20" s="6" t="s">
        <v>53</v>
      </c>
      <c r="B20" s="7">
        <v>74.556399999999996</v>
      </c>
      <c r="C20" s="7">
        <v>74.225999999999999</v>
      </c>
      <c r="D20" s="7">
        <v>73.897000000000006</v>
      </c>
      <c r="E20" s="7">
        <v>73.569500000000005</v>
      </c>
      <c r="F20" s="7">
        <v>73.243499999999997</v>
      </c>
      <c r="G20" s="7">
        <v>72.918800000000005</v>
      </c>
      <c r="H20" s="7">
        <v>72.595699999999994</v>
      </c>
      <c r="I20" s="7">
        <v>72.273899999999998</v>
      </c>
      <c r="J20" s="7">
        <v>71.953599999999994</v>
      </c>
      <c r="K20" s="7">
        <v>71.634699999999995</v>
      </c>
      <c r="L20" s="7">
        <v>71.3172</v>
      </c>
      <c r="M20" s="7">
        <v>71.001099999999994</v>
      </c>
      <c r="N20" s="7">
        <v>70.686499999999995</v>
      </c>
      <c r="O20" s="7">
        <v>70.373199999999997</v>
      </c>
      <c r="P20" s="7">
        <v>70.061300000000003</v>
      </c>
      <c r="Q20" s="7">
        <v>69.750799999999998</v>
      </c>
      <c r="R20" s="7">
        <v>69.441599999999994</v>
      </c>
    </row>
    <row r="21" spans="1:18" ht="15.75" customHeight="1" x14ac:dyDescent="0.25">
      <c r="A21" s="8" t="s">
        <v>54</v>
      </c>
      <c r="B21" s="9">
        <v>68.081000000000003</v>
      </c>
      <c r="C21" s="9">
        <v>67.763000000000005</v>
      </c>
      <c r="D21" s="9">
        <v>67.4465</v>
      </c>
      <c r="E21" s="9">
        <v>67.131600000000006</v>
      </c>
      <c r="F21" s="9">
        <v>66.817999999999998</v>
      </c>
      <c r="G21" s="9">
        <v>66.506</v>
      </c>
      <c r="H21" s="9">
        <v>66.195400000000006</v>
      </c>
      <c r="I21" s="9">
        <v>65.886200000000002</v>
      </c>
      <c r="J21" s="9">
        <v>65.578500000000005</v>
      </c>
      <c r="K21" s="9">
        <v>65.272199999999998</v>
      </c>
      <c r="L21" s="9">
        <v>64.967399999999998</v>
      </c>
      <c r="M21" s="9">
        <v>64.664000000000001</v>
      </c>
      <c r="N21" s="9">
        <v>64.361999999999995</v>
      </c>
      <c r="O21" s="9">
        <v>64.061400000000006</v>
      </c>
      <c r="P21" s="9">
        <v>63.7622</v>
      </c>
      <c r="Q21" s="9">
        <v>63.464399999999998</v>
      </c>
      <c r="R21" s="9">
        <v>63.167999999999999</v>
      </c>
    </row>
    <row r="22" spans="1:18" ht="15.75" customHeight="1" x14ac:dyDescent="0.25">
      <c r="A22" s="6" t="s">
        <v>55</v>
      </c>
      <c r="B22" s="7">
        <v>66.617900000000006</v>
      </c>
      <c r="C22" s="7">
        <v>66.2928</v>
      </c>
      <c r="D22" s="7">
        <v>65.969300000000004</v>
      </c>
      <c r="E22" s="7">
        <v>65.647300000000001</v>
      </c>
      <c r="F22" s="7">
        <v>65.326899999999995</v>
      </c>
      <c r="G22" s="7">
        <v>65.008099999999999</v>
      </c>
      <c r="H22" s="7">
        <v>64.690799999999996</v>
      </c>
      <c r="I22" s="7">
        <v>64.375100000000003</v>
      </c>
      <c r="J22" s="7">
        <v>64.060900000000004</v>
      </c>
      <c r="K22" s="7">
        <v>63.748199999999997</v>
      </c>
      <c r="L22" s="7">
        <v>63.437100000000001</v>
      </c>
      <c r="M22" s="7">
        <v>63.127499999999998</v>
      </c>
      <c r="N22" s="7">
        <v>62.819400000000002</v>
      </c>
      <c r="O22" s="7">
        <v>62.512799999999999</v>
      </c>
      <c r="P22" s="7">
        <v>62.207700000000003</v>
      </c>
      <c r="Q22" s="7">
        <v>61.9041</v>
      </c>
      <c r="R22" s="7">
        <v>61.601999999999997</v>
      </c>
    </row>
    <row r="23" spans="1:18" ht="15.75" customHeight="1" x14ac:dyDescent="0.25">
      <c r="A23" s="8" t="s">
        <v>56</v>
      </c>
      <c r="B23" s="9">
        <v>77.569900000000004</v>
      </c>
      <c r="C23" s="9">
        <v>77.239999999999995</v>
      </c>
      <c r="D23" s="9">
        <v>76.9114</v>
      </c>
      <c r="E23" s="9">
        <v>76.584299999999999</v>
      </c>
      <c r="F23" s="9">
        <v>76.258499999999998</v>
      </c>
      <c r="G23" s="9">
        <v>75.934200000000004</v>
      </c>
      <c r="H23" s="9">
        <v>75.611199999999997</v>
      </c>
      <c r="I23" s="9">
        <v>75.289599999999993</v>
      </c>
      <c r="J23" s="9">
        <v>74.969399999999993</v>
      </c>
      <c r="K23" s="9">
        <v>74.650499999999994</v>
      </c>
      <c r="L23" s="9">
        <v>74.332999999999998</v>
      </c>
      <c r="M23" s="9">
        <v>74.016800000000003</v>
      </c>
      <c r="N23" s="9">
        <v>73.701999999999998</v>
      </c>
      <c r="O23" s="9">
        <v>73.388499999999993</v>
      </c>
      <c r="P23" s="9">
        <v>73.076400000000007</v>
      </c>
      <c r="Q23" s="9">
        <v>72.765500000000003</v>
      </c>
      <c r="R23" s="9">
        <v>72.456000000000003</v>
      </c>
    </row>
    <row r="24" spans="1:18" ht="15.75" customHeight="1" x14ac:dyDescent="0.25">
      <c r="A24" s="6" t="s">
        <v>57</v>
      </c>
      <c r="B24" s="7">
        <v>64.015100000000004</v>
      </c>
      <c r="C24" s="7">
        <v>63.695399999999999</v>
      </c>
      <c r="D24" s="7">
        <v>63.377299999999998</v>
      </c>
      <c r="E24" s="7">
        <v>63.0608</v>
      </c>
      <c r="F24" s="7">
        <v>62.745899999999999</v>
      </c>
      <c r="G24" s="7">
        <v>62.432499999999997</v>
      </c>
      <c r="H24" s="7">
        <v>62.120800000000003</v>
      </c>
      <c r="I24" s="7">
        <v>61.810600000000001</v>
      </c>
      <c r="J24" s="7">
        <v>61.501899999999999</v>
      </c>
      <c r="K24" s="7">
        <v>61.194800000000001</v>
      </c>
      <c r="L24" s="7">
        <v>60.889200000000002</v>
      </c>
      <c r="M24" s="7">
        <v>60.585099999999997</v>
      </c>
      <c r="N24" s="7">
        <v>60.282499999999999</v>
      </c>
      <c r="O24" s="7">
        <v>59.981499999999997</v>
      </c>
      <c r="P24" s="7">
        <v>59.682000000000002</v>
      </c>
      <c r="Q24" s="7">
        <v>59.383899999999997</v>
      </c>
      <c r="R24" s="7">
        <v>59.087400000000002</v>
      </c>
    </row>
    <row r="25" spans="1:18" ht="15.75" customHeight="1" x14ac:dyDescent="0.25">
      <c r="A25" s="8" t="s">
        <v>58</v>
      </c>
      <c r="B25" s="9">
        <v>72.313599999999994</v>
      </c>
      <c r="C25" s="9">
        <v>71.987200000000001</v>
      </c>
      <c r="D25" s="9">
        <v>71.662199999999999</v>
      </c>
      <c r="E25" s="9">
        <v>71.338800000000006</v>
      </c>
      <c r="F25" s="9">
        <v>71.016800000000003</v>
      </c>
      <c r="G25" s="9">
        <v>70.696299999999994</v>
      </c>
      <c r="H25" s="9">
        <v>70.377200000000002</v>
      </c>
      <c r="I25" s="9">
        <v>70.0595</v>
      </c>
      <c r="J25" s="9">
        <v>69.743300000000005</v>
      </c>
      <c r="K25" s="9">
        <v>69.4285</v>
      </c>
      <c r="L25" s="9">
        <v>69.115200000000002</v>
      </c>
      <c r="M25" s="9">
        <v>68.803200000000004</v>
      </c>
      <c r="N25" s="9">
        <v>68.492699999999999</v>
      </c>
      <c r="O25" s="9">
        <v>68.183499999999995</v>
      </c>
      <c r="P25" s="9">
        <v>67.875799999999998</v>
      </c>
      <c r="Q25" s="9">
        <v>67.569400000000002</v>
      </c>
      <c r="R25" s="9">
        <v>67.264399999999995</v>
      </c>
    </row>
    <row r="26" spans="1:18" ht="15.75" customHeight="1" x14ac:dyDescent="0.25">
      <c r="A26" s="6" t="s">
        <v>59</v>
      </c>
      <c r="B26" s="7">
        <v>57.702300000000001</v>
      </c>
      <c r="C26" s="7">
        <v>57.382399999999997</v>
      </c>
      <c r="D26" s="7">
        <v>57.0642</v>
      </c>
      <c r="E26" s="7">
        <v>56.747799999999998</v>
      </c>
      <c r="F26" s="7">
        <v>56.433199999999999</v>
      </c>
      <c r="G26" s="7">
        <v>56.120199999999997</v>
      </c>
      <c r="H26" s="7">
        <v>55.809100000000001</v>
      </c>
      <c r="I26" s="7">
        <v>55.499600000000001</v>
      </c>
      <c r="J26" s="7">
        <v>55.191899999999997</v>
      </c>
      <c r="K26" s="7">
        <v>54.885899999999999</v>
      </c>
      <c r="L26" s="7">
        <v>54.581600000000002</v>
      </c>
      <c r="M26" s="7">
        <v>54.2789</v>
      </c>
      <c r="N26" s="7">
        <v>53.978000000000002</v>
      </c>
      <c r="O26" s="7">
        <v>53.678699999999999</v>
      </c>
      <c r="P26" s="7">
        <v>53.381</v>
      </c>
      <c r="Q26" s="7">
        <v>53.085099999999997</v>
      </c>
      <c r="R26" s="7">
        <v>52.790700000000001</v>
      </c>
    </row>
    <row r="27" spans="1:18" ht="15.75" customHeight="1" x14ac:dyDescent="0.25">
      <c r="A27" s="8" t="s">
        <v>60</v>
      </c>
      <c r="B27" s="9">
        <v>53.908200000000001</v>
      </c>
      <c r="C27" s="9">
        <v>53.585000000000001</v>
      </c>
      <c r="D27" s="9">
        <v>53.2637</v>
      </c>
      <c r="E27" s="9">
        <v>52.944299999999998</v>
      </c>
      <c r="F27" s="9">
        <v>52.626800000000003</v>
      </c>
      <c r="G27" s="9">
        <v>52.311199999999999</v>
      </c>
      <c r="H27" s="9">
        <v>51.997599999999998</v>
      </c>
      <c r="I27" s="9">
        <v>51.6858</v>
      </c>
      <c r="J27" s="9">
        <v>51.375799999999998</v>
      </c>
      <c r="K27" s="9">
        <v>51.067799999999998</v>
      </c>
      <c r="L27" s="9">
        <v>50.761600000000001</v>
      </c>
      <c r="M27" s="9">
        <v>50.4572</v>
      </c>
      <c r="N27" s="9">
        <v>50.154600000000002</v>
      </c>
      <c r="O27" s="9">
        <v>49.853900000000003</v>
      </c>
      <c r="P27" s="9">
        <v>49.554900000000004</v>
      </c>
      <c r="Q27" s="9">
        <v>49.257800000000003</v>
      </c>
      <c r="R27" s="9">
        <v>48.962400000000002</v>
      </c>
    </row>
    <row r="28" spans="1:18" ht="15.75" customHeight="1" x14ac:dyDescent="0.25">
      <c r="A28" s="6" t="s">
        <v>61</v>
      </c>
      <c r="B28" s="7">
        <v>67.290700000000001</v>
      </c>
      <c r="C28" s="7">
        <v>66.963700000000003</v>
      </c>
      <c r="D28" s="7">
        <v>66.638300000000001</v>
      </c>
      <c r="E28" s="7">
        <v>66.314499999999995</v>
      </c>
      <c r="F28" s="7">
        <v>65.9923</v>
      </c>
      <c r="G28" s="7">
        <v>65.671599999999998</v>
      </c>
      <c r="H28" s="7">
        <v>65.352500000000006</v>
      </c>
      <c r="I28" s="7">
        <v>65.034999999999997</v>
      </c>
      <c r="J28" s="7">
        <v>64.718999999999994</v>
      </c>
      <c r="K28" s="7">
        <v>64.404499999999999</v>
      </c>
      <c r="L28" s="7">
        <v>64.0916</v>
      </c>
      <c r="M28" s="7">
        <v>63.780099999999997</v>
      </c>
      <c r="N28" s="7">
        <v>63.470199999999998</v>
      </c>
      <c r="O28" s="7">
        <v>63.161799999999999</v>
      </c>
      <c r="P28" s="7">
        <v>62.854900000000001</v>
      </c>
      <c r="Q28" s="7">
        <v>62.549500000000002</v>
      </c>
      <c r="R28" s="7">
        <v>62.245600000000003</v>
      </c>
    </row>
  </sheetData>
  <mergeCells count="2">
    <mergeCell ref="A3:R3"/>
    <mergeCell ref="A1:R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E44AD"/>
  </sheetPr>
  <dimension ref="A1:G395"/>
  <sheetViews>
    <sheetView showGridLines="0" workbookViewId="0">
      <selection sqref="A1:G2"/>
    </sheetView>
  </sheetViews>
  <sheetFormatPr baseColWidth="10" defaultColWidth="8.7109375" defaultRowHeight="15" x14ac:dyDescent="0.25"/>
  <cols>
    <col min="1" max="1" width="22" customWidth="1"/>
    <col min="2" max="2" width="8" customWidth="1"/>
    <col min="3" max="5" width="22" customWidth="1"/>
    <col min="6" max="7" width="16" customWidth="1"/>
  </cols>
  <sheetData>
    <row r="1" spans="1:7" ht="30" customHeight="1" x14ac:dyDescent="0.25">
      <c r="A1" s="51" t="s">
        <v>62</v>
      </c>
      <c r="B1" s="44"/>
      <c r="C1" s="44"/>
      <c r="D1" s="44"/>
      <c r="E1" s="44"/>
      <c r="F1" s="44"/>
      <c r="G1" s="44"/>
    </row>
    <row r="2" spans="1:7" x14ac:dyDescent="0.25">
      <c r="A2" s="44"/>
      <c r="B2" s="44"/>
      <c r="C2" s="44"/>
      <c r="D2" s="44"/>
      <c r="E2" s="44"/>
      <c r="F2" s="44"/>
      <c r="G2" s="44"/>
    </row>
    <row r="4" spans="1:7" ht="21.75" customHeight="1" x14ac:dyDescent="0.25">
      <c r="A4" s="5" t="s">
        <v>21</v>
      </c>
      <c r="B4" s="5" t="s">
        <v>63</v>
      </c>
      <c r="C4" s="5" t="s">
        <v>64</v>
      </c>
      <c r="D4" s="5" t="s">
        <v>65</v>
      </c>
      <c r="E4" s="5" t="s">
        <v>66</v>
      </c>
      <c r="F4" s="5" t="s">
        <v>67</v>
      </c>
      <c r="G4" s="5" t="s">
        <v>68</v>
      </c>
    </row>
    <row r="5" spans="1:7" ht="15" customHeight="1" x14ac:dyDescent="0.25">
      <c r="A5" s="6" t="s">
        <v>39</v>
      </c>
      <c r="B5" s="10">
        <v>2026</v>
      </c>
      <c r="C5" s="7">
        <v>41.394199999999998</v>
      </c>
      <c r="D5" s="7">
        <v>38.872900000000001</v>
      </c>
      <c r="E5" s="7">
        <v>44.078899999999997</v>
      </c>
      <c r="F5" s="11">
        <f t="shared" ref="F5:F68" si="0">E5-D5</f>
        <v>5.205999999999996</v>
      </c>
      <c r="G5" s="12">
        <f>Ocupados_Proy!$D$5</f>
        <v>5694816</v>
      </c>
    </row>
    <row r="6" spans="1:7" ht="15" customHeight="1" x14ac:dyDescent="0.25">
      <c r="A6" s="8" t="s">
        <v>40</v>
      </c>
      <c r="B6" s="13">
        <v>2026</v>
      </c>
      <c r="C6" s="9">
        <v>41.671300000000002</v>
      </c>
      <c r="D6" s="9">
        <v>38.488799999999998</v>
      </c>
      <c r="E6" s="9">
        <v>45.116799999999998</v>
      </c>
      <c r="F6" s="14">
        <f t="shared" si="0"/>
        <v>6.6280000000000001</v>
      </c>
      <c r="G6" s="15">
        <f>Ocupados_Proy!$D$6</f>
        <v>1772378</v>
      </c>
    </row>
    <row r="7" spans="1:7" ht="15" customHeight="1" x14ac:dyDescent="0.25">
      <c r="A7" s="6" t="s">
        <v>41</v>
      </c>
      <c r="B7" s="10">
        <v>2026</v>
      </c>
      <c r="C7" s="7">
        <v>48.813600000000001</v>
      </c>
      <c r="D7" s="7">
        <v>45.833199999999998</v>
      </c>
      <c r="E7" s="7">
        <v>51.987900000000003</v>
      </c>
      <c r="F7" s="11">
        <f t="shared" si="0"/>
        <v>6.1547000000000054</v>
      </c>
      <c r="G7" s="12">
        <f>Ocupados_Proy!$D$7</f>
        <v>1576113</v>
      </c>
    </row>
    <row r="8" spans="1:7" ht="15" customHeight="1" x14ac:dyDescent="0.25">
      <c r="A8" s="8" t="s">
        <v>42</v>
      </c>
      <c r="B8" s="13">
        <v>2026</v>
      </c>
      <c r="C8" s="9">
        <v>55.180399999999999</v>
      </c>
      <c r="D8" s="9">
        <v>52.590800000000002</v>
      </c>
      <c r="E8" s="9">
        <v>57.897500000000001</v>
      </c>
      <c r="F8" s="14">
        <f t="shared" si="0"/>
        <v>5.3066999999999993</v>
      </c>
      <c r="G8" s="15">
        <f>Ocupados_Proy!$D$8</f>
        <v>864371</v>
      </c>
    </row>
    <row r="9" spans="1:7" ht="15" customHeight="1" x14ac:dyDescent="0.25">
      <c r="A9" s="6" t="s">
        <v>43</v>
      </c>
      <c r="B9" s="10">
        <v>2026</v>
      </c>
      <c r="C9" s="7">
        <v>61.030500000000004</v>
      </c>
      <c r="D9" s="7">
        <v>57.8431</v>
      </c>
      <c r="E9" s="7">
        <v>64.393699999999995</v>
      </c>
      <c r="F9" s="11">
        <f t="shared" si="0"/>
        <v>6.5505999999999958</v>
      </c>
      <c r="G9" s="12">
        <f>Ocupados_Proy!$D$9</f>
        <v>424315</v>
      </c>
    </row>
    <row r="10" spans="1:7" ht="15" customHeight="1" x14ac:dyDescent="0.25">
      <c r="A10" s="8" t="s">
        <v>44</v>
      </c>
      <c r="B10" s="13">
        <v>2026</v>
      </c>
      <c r="C10" s="9">
        <v>48.596299999999999</v>
      </c>
      <c r="D10" s="9">
        <v>45.707900000000002</v>
      </c>
      <c r="E10" s="9">
        <v>51.667200000000001</v>
      </c>
      <c r="F10" s="14">
        <f t="shared" si="0"/>
        <v>5.9592999999999989</v>
      </c>
      <c r="G10" s="15">
        <f>Ocupados_Proy!$D$10</f>
        <v>328451</v>
      </c>
    </row>
    <row r="11" spans="1:7" ht="15" customHeight="1" x14ac:dyDescent="0.25">
      <c r="A11" s="6" t="s">
        <v>45</v>
      </c>
      <c r="B11" s="10">
        <v>2026</v>
      </c>
      <c r="C11" s="7">
        <v>67.875399999999999</v>
      </c>
      <c r="D11" s="7">
        <v>65.556299999999993</v>
      </c>
      <c r="E11" s="7">
        <v>70.276600000000002</v>
      </c>
      <c r="F11" s="11">
        <f t="shared" si="0"/>
        <v>4.7203000000000088</v>
      </c>
      <c r="G11" s="12">
        <f>Ocupados_Proy!$D$11</f>
        <v>288315</v>
      </c>
    </row>
    <row r="12" spans="1:7" ht="15" customHeight="1" x14ac:dyDescent="0.25">
      <c r="A12" s="8" t="s">
        <v>46</v>
      </c>
      <c r="B12" s="13">
        <v>2026</v>
      </c>
      <c r="C12" s="9">
        <v>56.505600000000001</v>
      </c>
      <c r="D12" s="9">
        <v>53.774500000000003</v>
      </c>
      <c r="E12" s="9">
        <v>59.375500000000002</v>
      </c>
      <c r="F12" s="14">
        <f t="shared" si="0"/>
        <v>5.6009999999999991</v>
      </c>
      <c r="G12" s="15">
        <f>Ocupados_Proy!$D$12</f>
        <v>331654</v>
      </c>
    </row>
    <row r="13" spans="1:7" ht="15" customHeight="1" x14ac:dyDescent="0.25">
      <c r="A13" s="6" t="s">
        <v>47</v>
      </c>
      <c r="B13" s="10">
        <v>2026</v>
      </c>
      <c r="C13" s="7">
        <v>69.036199999999994</v>
      </c>
      <c r="D13" s="7">
        <v>65.952200000000005</v>
      </c>
      <c r="E13" s="7">
        <v>72.264399999999995</v>
      </c>
      <c r="F13" s="11">
        <f t="shared" si="0"/>
        <v>6.31219999999999</v>
      </c>
      <c r="G13" s="12">
        <f>Ocupados_Proy!$D$13</f>
        <v>548702</v>
      </c>
    </row>
    <row r="14" spans="1:7" ht="15" customHeight="1" x14ac:dyDescent="0.25">
      <c r="A14" s="8" t="s">
        <v>48</v>
      </c>
      <c r="B14" s="13">
        <v>2026</v>
      </c>
      <c r="C14" s="9">
        <v>59.751800000000003</v>
      </c>
      <c r="D14" s="9">
        <v>57.269399999999997</v>
      </c>
      <c r="E14" s="9">
        <v>62.341799999999999</v>
      </c>
      <c r="F14" s="14">
        <f t="shared" si="0"/>
        <v>5.0724000000000018</v>
      </c>
      <c r="G14" s="15">
        <f>Ocupados_Proy!$D$14</f>
        <v>378451</v>
      </c>
    </row>
    <row r="15" spans="1:7" ht="15" customHeight="1" x14ac:dyDescent="0.25">
      <c r="A15" s="6" t="s">
        <v>49</v>
      </c>
      <c r="B15" s="10">
        <v>2026</v>
      </c>
      <c r="C15" s="7">
        <v>73.328000000000003</v>
      </c>
      <c r="D15" s="7">
        <v>70.610600000000005</v>
      </c>
      <c r="E15" s="7">
        <v>76.150099999999995</v>
      </c>
      <c r="F15" s="11">
        <f t="shared" si="0"/>
        <v>5.5394999999999897</v>
      </c>
      <c r="G15" s="12">
        <f>Ocupados_Proy!$D$15</f>
        <v>390914</v>
      </c>
    </row>
    <row r="16" spans="1:7" ht="15" customHeight="1" x14ac:dyDescent="0.25">
      <c r="A16" s="8" t="s">
        <v>50</v>
      </c>
      <c r="B16" s="13">
        <v>2026</v>
      </c>
      <c r="C16" s="9">
        <v>55.1</v>
      </c>
      <c r="D16" s="9">
        <v>52.613</v>
      </c>
      <c r="E16" s="9">
        <v>57.704500000000003</v>
      </c>
      <c r="F16" s="14">
        <f t="shared" si="0"/>
        <v>5.0915000000000035</v>
      </c>
      <c r="G16" s="15">
        <f>Ocupados_Proy!$D$16</f>
        <v>673241</v>
      </c>
    </row>
    <row r="17" spans="1:7" ht="15" customHeight="1" x14ac:dyDescent="0.25">
      <c r="A17" s="6" t="s">
        <v>51</v>
      </c>
      <c r="B17" s="10">
        <v>2026</v>
      </c>
      <c r="C17" s="7">
        <v>60.312600000000003</v>
      </c>
      <c r="D17" s="7">
        <v>57.755200000000002</v>
      </c>
      <c r="E17" s="7">
        <v>62.983199999999997</v>
      </c>
      <c r="F17" s="11">
        <f t="shared" si="0"/>
        <v>5.2279999999999944</v>
      </c>
      <c r="G17" s="12">
        <f>Ocupados_Proy!$D$17</f>
        <v>409780</v>
      </c>
    </row>
    <row r="18" spans="1:7" ht="15" customHeight="1" x14ac:dyDescent="0.25">
      <c r="A18" s="8" t="s">
        <v>52</v>
      </c>
      <c r="B18" s="13">
        <v>2026</v>
      </c>
      <c r="C18" s="9">
        <v>60.179699999999997</v>
      </c>
      <c r="D18" s="9">
        <v>57.7241</v>
      </c>
      <c r="E18" s="9">
        <v>62.739800000000002</v>
      </c>
      <c r="F18" s="14">
        <f t="shared" si="0"/>
        <v>5.0157000000000025</v>
      </c>
      <c r="G18" s="15">
        <f>Ocupados_Proy!$D$18</f>
        <v>136338</v>
      </c>
    </row>
    <row r="19" spans="1:7" ht="15" customHeight="1" x14ac:dyDescent="0.25">
      <c r="A19" s="6" t="s">
        <v>53</v>
      </c>
      <c r="B19" s="10">
        <v>2026</v>
      </c>
      <c r="C19" s="7">
        <v>74.556399999999996</v>
      </c>
      <c r="D19" s="7">
        <v>71.940100000000001</v>
      </c>
      <c r="E19" s="7">
        <v>77.267899999999997</v>
      </c>
      <c r="F19" s="11">
        <f t="shared" si="0"/>
        <v>5.3277999999999963</v>
      </c>
      <c r="G19" s="12">
        <f>Ocupados_Proy!$D$19</f>
        <v>129659</v>
      </c>
    </row>
    <row r="20" spans="1:7" ht="15" customHeight="1" x14ac:dyDescent="0.25">
      <c r="A20" s="8" t="s">
        <v>54</v>
      </c>
      <c r="B20" s="13">
        <v>2026</v>
      </c>
      <c r="C20" s="9">
        <v>68.081000000000003</v>
      </c>
      <c r="D20" s="9">
        <v>65.565600000000003</v>
      </c>
      <c r="E20" s="9">
        <v>70.692899999999995</v>
      </c>
      <c r="F20" s="14">
        <f t="shared" si="0"/>
        <v>5.1272999999999911</v>
      </c>
      <c r="G20" s="15">
        <f>Ocupados_Proy!$D$20</f>
        <v>248848</v>
      </c>
    </row>
    <row r="21" spans="1:7" ht="15" customHeight="1" x14ac:dyDescent="0.25">
      <c r="A21" s="6" t="s">
        <v>55</v>
      </c>
      <c r="B21" s="10">
        <v>2026</v>
      </c>
      <c r="C21" s="7">
        <v>66.617900000000006</v>
      </c>
      <c r="D21" s="7">
        <v>64.047700000000006</v>
      </c>
      <c r="E21" s="7">
        <v>69.291300000000007</v>
      </c>
      <c r="F21" s="11">
        <f t="shared" si="0"/>
        <v>5.2436000000000007</v>
      </c>
      <c r="G21" s="12">
        <f>Ocupados_Proy!$D$21</f>
        <v>421498</v>
      </c>
    </row>
    <row r="22" spans="1:7" ht="15" customHeight="1" x14ac:dyDescent="0.25">
      <c r="A22" s="8" t="s">
        <v>56</v>
      </c>
      <c r="B22" s="13">
        <v>2026</v>
      </c>
      <c r="C22" s="9">
        <v>77.569900000000004</v>
      </c>
      <c r="D22" s="9">
        <v>74.9559</v>
      </c>
      <c r="E22" s="9">
        <v>80.275099999999995</v>
      </c>
      <c r="F22" s="14">
        <f t="shared" si="0"/>
        <v>5.319199999999995</v>
      </c>
      <c r="G22" s="15">
        <f>Ocupados_Proy!$D$22</f>
        <v>95484</v>
      </c>
    </row>
    <row r="23" spans="1:7" ht="15" customHeight="1" x14ac:dyDescent="0.25">
      <c r="A23" s="6" t="s">
        <v>57</v>
      </c>
      <c r="B23" s="10">
        <v>2026</v>
      </c>
      <c r="C23" s="7">
        <v>64.015100000000004</v>
      </c>
      <c r="D23" s="7">
        <v>61.488900000000001</v>
      </c>
      <c r="E23" s="7">
        <v>66.644999999999996</v>
      </c>
      <c r="F23" s="11">
        <f t="shared" si="0"/>
        <v>5.156099999999995</v>
      </c>
      <c r="G23" s="12">
        <f>Ocupados_Proy!$D$23</f>
        <v>276241</v>
      </c>
    </row>
    <row r="24" spans="1:7" ht="15" customHeight="1" x14ac:dyDescent="0.25">
      <c r="A24" s="8" t="s">
        <v>58</v>
      </c>
      <c r="B24" s="13">
        <v>2026</v>
      </c>
      <c r="C24" s="9">
        <v>72.313599999999994</v>
      </c>
      <c r="D24" s="9">
        <v>69.73</v>
      </c>
      <c r="E24" s="9">
        <v>74.992800000000003</v>
      </c>
      <c r="F24" s="14">
        <f t="shared" si="0"/>
        <v>5.2627999999999986</v>
      </c>
      <c r="G24" s="15">
        <f>Ocupados_Proy!$D$24</f>
        <v>137916</v>
      </c>
    </row>
    <row r="25" spans="1:7" ht="15" customHeight="1" x14ac:dyDescent="0.25">
      <c r="A25" s="6" t="s">
        <v>59</v>
      </c>
      <c r="B25" s="10">
        <v>2026</v>
      </c>
      <c r="C25" s="7">
        <v>57.702300000000001</v>
      </c>
      <c r="D25" s="7">
        <v>55.179000000000002</v>
      </c>
      <c r="E25" s="7">
        <v>60.341099999999997</v>
      </c>
      <c r="F25" s="11">
        <f t="shared" si="0"/>
        <v>5.1620999999999952</v>
      </c>
      <c r="G25" s="12">
        <f>Ocupados_Proy!$D$25</f>
        <v>402356</v>
      </c>
    </row>
    <row r="26" spans="1:7" ht="15" customHeight="1" x14ac:dyDescent="0.25">
      <c r="A26" s="8" t="s">
        <v>60</v>
      </c>
      <c r="B26" s="13">
        <v>2026</v>
      </c>
      <c r="C26" s="9">
        <v>53.908200000000001</v>
      </c>
      <c r="D26" s="9">
        <v>51.3628</v>
      </c>
      <c r="E26" s="9">
        <v>56.579799999999999</v>
      </c>
      <c r="F26" s="14">
        <f t="shared" si="0"/>
        <v>5.2169999999999987</v>
      </c>
      <c r="G26" s="15">
        <f>Ocupados_Proy!$D$26</f>
        <v>208250</v>
      </c>
    </row>
    <row r="27" spans="1:7" ht="15" customHeight="1" x14ac:dyDescent="0.25">
      <c r="A27" s="6" t="s">
        <v>61</v>
      </c>
      <c r="B27" s="10">
        <v>2026</v>
      </c>
      <c r="C27" s="7">
        <v>67.290700000000001</v>
      </c>
      <c r="D27" s="7">
        <v>64.705699999999993</v>
      </c>
      <c r="E27" s="7">
        <v>69.978899999999996</v>
      </c>
      <c r="F27" s="11">
        <f t="shared" si="0"/>
        <v>5.2732000000000028</v>
      </c>
      <c r="G27" s="12">
        <f>Ocupados_Proy!$D$27</f>
        <v>221871</v>
      </c>
    </row>
    <row r="28" spans="1:7" ht="15" customHeight="1" x14ac:dyDescent="0.25">
      <c r="A28" s="6" t="s">
        <v>39</v>
      </c>
      <c r="B28" s="10">
        <v>2027</v>
      </c>
      <c r="C28" s="7">
        <v>41.072000000000003</v>
      </c>
      <c r="D28" s="7">
        <v>38.029400000000003</v>
      </c>
      <c r="E28" s="7">
        <v>44.357900000000001</v>
      </c>
      <c r="F28" s="11">
        <f t="shared" si="0"/>
        <v>6.3284999999999982</v>
      </c>
      <c r="G28" s="12">
        <f>Ocupados_Proy!$D$28</f>
        <v>5690929</v>
      </c>
    </row>
    <row r="29" spans="1:7" ht="15" customHeight="1" x14ac:dyDescent="0.25">
      <c r="A29" s="8" t="s">
        <v>40</v>
      </c>
      <c r="B29" s="13">
        <v>2027</v>
      </c>
      <c r="C29" s="9">
        <v>41.261600000000001</v>
      </c>
      <c r="D29" s="9">
        <v>37.436100000000003</v>
      </c>
      <c r="E29" s="9">
        <v>45.478099999999998</v>
      </c>
      <c r="F29" s="14">
        <f t="shared" si="0"/>
        <v>8.0419999999999945</v>
      </c>
      <c r="G29" s="15">
        <f>Ocupados_Proy!$D$29</f>
        <v>1766956</v>
      </c>
    </row>
    <row r="30" spans="1:7" ht="15" customHeight="1" x14ac:dyDescent="0.25">
      <c r="A30" s="6" t="s">
        <v>41</v>
      </c>
      <c r="B30" s="10">
        <v>2027</v>
      </c>
      <c r="C30" s="7">
        <v>48.432699999999997</v>
      </c>
      <c r="D30" s="7">
        <v>44.836199999999998</v>
      </c>
      <c r="E30" s="7">
        <v>52.317700000000002</v>
      </c>
      <c r="F30" s="11">
        <f t="shared" si="0"/>
        <v>7.481500000000004</v>
      </c>
      <c r="G30" s="12">
        <f>Ocupados_Proy!$D$30</f>
        <v>1568387</v>
      </c>
    </row>
    <row r="31" spans="1:7" ht="15" customHeight="1" x14ac:dyDescent="0.25">
      <c r="A31" s="8" t="s">
        <v>42</v>
      </c>
      <c r="B31" s="13">
        <v>2027</v>
      </c>
      <c r="C31" s="9">
        <v>54.851599999999998</v>
      </c>
      <c r="D31" s="9">
        <v>51.715800000000002</v>
      </c>
      <c r="E31" s="9">
        <v>58.177599999999998</v>
      </c>
      <c r="F31" s="14">
        <f t="shared" si="0"/>
        <v>6.4617999999999967</v>
      </c>
      <c r="G31" s="15">
        <f>Ocupados_Proy!$D$31</f>
        <v>861851</v>
      </c>
    </row>
    <row r="32" spans="1:7" ht="15" customHeight="1" x14ac:dyDescent="0.25">
      <c r="A32" s="6" t="s">
        <v>43</v>
      </c>
      <c r="B32" s="10">
        <v>2027</v>
      </c>
      <c r="C32" s="7">
        <v>60.6248</v>
      </c>
      <c r="D32" s="7">
        <v>56.77</v>
      </c>
      <c r="E32" s="7">
        <v>64.741399999999999</v>
      </c>
      <c r="F32" s="11">
        <f t="shared" si="0"/>
        <v>7.9713999999999956</v>
      </c>
      <c r="G32" s="12">
        <f>Ocupados_Proy!$D$32</f>
        <v>424405</v>
      </c>
    </row>
    <row r="33" spans="1:7" ht="15" customHeight="1" x14ac:dyDescent="0.25">
      <c r="A33" s="8" t="s">
        <v>44</v>
      </c>
      <c r="B33" s="13">
        <v>2027</v>
      </c>
      <c r="C33" s="9">
        <v>48.227400000000003</v>
      </c>
      <c r="D33" s="9">
        <v>44.740499999999997</v>
      </c>
      <c r="E33" s="9">
        <v>51.9861</v>
      </c>
      <c r="F33" s="14">
        <f t="shared" si="0"/>
        <v>7.2456000000000031</v>
      </c>
      <c r="G33" s="15">
        <f>Ocupados_Proy!$D$33</f>
        <v>330248</v>
      </c>
    </row>
    <row r="34" spans="1:7" ht="15" customHeight="1" x14ac:dyDescent="0.25">
      <c r="A34" s="6" t="s">
        <v>45</v>
      </c>
      <c r="B34" s="10">
        <v>2027</v>
      </c>
      <c r="C34" s="7">
        <v>67.582599999999999</v>
      </c>
      <c r="D34" s="7">
        <v>64.765500000000003</v>
      </c>
      <c r="E34" s="7">
        <v>70.522300000000001</v>
      </c>
      <c r="F34" s="11">
        <f t="shared" si="0"/>
        <v>5.7567999999999984</v>
      </c>
      <c r="G34" s="12">
        <f>Ocupados_Proy!$D$34</f>
        <v>289337</v>
      </c>
    </row>
    <row r="35" spans="1:7" ht="15" customHeight="1" x14ac:dyDescent="0.25">
      <c r="A35" s="8" t="s">
        <v>46</v>
      </c>
      <c r="B35" s="13">
        <v>2027</v>
      </c>
      <c r="C35" s="9">
        <v>56.1586</v>
      </c>
      <c r="D35" s="9">
        <v>52.852499999999999</v>
      </c>
      <c r="E35" s="9">
        <v>59.671500000000002</v>
      </c>
      <c r="F35" s="14">
        <f t="shared" si="0"/>
        <v>6.8190000000000026</v>
      </c>
      <c r="G35" s="15">
        <f>Ocupados_Proy!$D$35</f>
        <v>331418</v>
      </c>
    </row>
    <row r="36" spans="1:7" ht="15" customHeight="1" x14ac:dyDescent="0.25">
      <c r="A36" s="6" t="s">
        <v>47</v>
      </c>
      <c r="B36" s="10">
        <v>2027</v>
      </c>
      <c r="C36" s="7">
        <v>68.644999999999996</v>
      </c>
      <c r="D36" s="7">
        <v>64.9084</v>
      </c>
      <c r="E36" s="7">
        <v>72.596800000000002</v>
      </c>
      <c r="F36" s="11">
        <f t="shared" si="0"/>
        <v>7.6884000000000015</v>
      </c>
      <c r="G36" s="12">
        <f>Ocupados_Proy!$D$36</f>
        <v>548829</v>
      </c>
    </row>
    <row r="37" spans="1:7" ht="15" customHeight="1" x14ac:dyDescent="0.25">
      <c r="A37" s="8" t="s">
        <v>48</v>
      </c>
      <c r="B37" s="13">
        <v>2027</v>
      </c>
      <c r="C37" s="9">
        <v>59.4373</v>
      </c>
      <c r="D37" s="9">
        <v>56.427300000000002</v>
      </c>
      <c r="E37" s="9">
        <v>62.607900000000001</v>
      </c>
      <c r="F37" s="14">
        <f t="shared" si="0"/>
        <v>6.1805999999999983</v>
      </c>
      <c r="G37" s="15">
        <f>Ocupados_Proy!$D$37</f>
        <v>379844</v>
      </c>
    </row>
    <row r="38" spans="1:7" ht="15" customHeight="1" x14ac:dyDescent="0.25">
      <c r="A38" s="6" t="s">
        <v>49</v>
      </c>
      <c r="B38" s="10">
        <v>2027</v>
      </c>
      <c r="C38" s="7">
        <v>72.984499999999997</v>
      </c>
      <c r="D38" s="7">
        <v>69.6858</v>
      </c>
      <c r="E38" s="7">
        <v>76.439400000000006</v>
      </c>
      <c r="F38" s="11">
        <f t="shared" si="0"/>
        <v>6.7536000000000058</v>
      </c>
      <c r="G38" s="12">
        <f>Ocupados_Proy!$D$38</f>
        <v>398865</v>
      </c>
    </row>
    <row r="39" spans="1:7" ht="15" customHeight="1" x14ac:dyDescent="0.25">
      <c r="A39" s="8" t="s">
        <v>50</v>
      </c>
      <c r="B39" s="13">
        <v>2027</v>
      </c>
      <c r="C39" s="9">
        <v>54.784399999999998</v>
      </c>
      <c r="D39" s="9">
        <v>51.771500000000003</v>
      </c>
      <c r="E39" s="9">
        <v>57.972700000000003</v>
      </c>
      <c r="F39" s="14">
        <f t="shared" si="0"/>
        <v>6.2012</v>
      </c>
      <c r="G39" s="15">
        <f>Ocupados_Proy!$D$39</f>
        <v>673082</v>
      </c>
    </row>
    <row r="40" spans="1:7" ht="15" customHeight="1" x14ac:dyDescent="0.25">
      <c r="A40" s="6" t="s">
        <v>51</v>
      </c>
      <c r="B40" s="10">
        <v>2027</v>
      </c>
      <c r="C40" s="7">
        <v>59.988500000000002</v>
      </c>
      <c r="D40" s="7">
        <v>56.888300000000001</v>
      </c>
      <c r="E40" s="7">
        <v>63.2577</v>
      </c>
      <c r="F40" s="11">
        <f t="shared" si="0"/>
        <v>6.3693999999999988</v>
      </c>
      <c r="G40" s="12">
        <f>Ocupados_Proy!$D$40</f>
        <v>413292</v>
      </c>
    </row>
    <row r="41" spans="1:7" ht="15" customHeight="1" x14ac:dyDescent="0.25">
      <c r="A41" s="8" t="s">
        <v>52</v>
      </c>
      <c r="B41" s="13">
        <v>2027</v>
      </c>
      <c r="C41" s="9">
        <v>59.8688</v>
      </c>
      <c r="D41" s="9">
        <v>56.890700000000002</v>
      </c>
      <c r="E41" s="9">
        <v>63.002800000000001</v>
      </c>
      <c r="F41" s="14">
        <f t="shared" si="0"/>
        <v>6.1120999999999981</v>
      </c>
      <c r="G41" s="15">
        <f>Ocupados_Proy!$D$41</f>
        <v>137750</v>
      </c>
    </row>
    <row r="42" spans="1:7" ht="15" customHeight="1" x14ac:dyDescent="0.25">
      <c r="A42" s="6" t="s">
        <v>53</v>
      </c>
      <c r="B42" s="10">
        <v>2027</v>
      </c>
      <c r="C42" s="7">
        <v>74.225999999999999</v>
      </c>
      <c r="D42" s="7">
        <v>71.048599999999993</v>
      </c>
      <c r="E42" s="7">
        <v>77.545500000000004</v>
      </c>
      <c r="F42" s="11">
        <f t="shared" si="0"/>
        <v>6.4969000000000108</v>
      </c>
      <c r="G42" s="12">
        <f>Ocupados_Proy!$D$42</f>
        <v>131492</v>
      </c>
    </row>
    <row r="43" spans="1:7" ht="15" customHeight="1" x14ac:dyDescent="0.25">
      <c r="A43" s="8" t="s">
        <v>54</v>
      </c>
      <c r="B43" s="13">
        <v>2027</v>
      </c>
      <c r="C43" s="9">
        <v>67.763000000000005</v>
      </c>
      <c r="D43" s="9">
        <v>64.709500000000006</v>
      </c>
      <c r="E43" s="9">
        <v>70.960599999999999</v>
      </c>
      <c r="F43" s="14">
        <f t="shared" si="0"/>
        <v>6.2510999999999939</v>
      </c>
      <c r="G43" s="15">
        <f>Ocupados_Proy!$D$43</f>
        <v>251108</v>
      </c>
    </row>
    <row r="44" spans="1:7" ht="15" customHeight="1" x14ac:dyDescent="0.25">
      <c r="A44" s="6" t="s">
        <v>55</v>
      </c>
      <c r="B44" s="10">
        <v>2027</v>
      </c>
      <c r="C44" s="7">
        <v>66.2928</v>
      </c>
      <c r="D44" s="7">
        <v>63.173999999999999</v>
      </c>
      <c r="E44" s="7">
        <v>69.565600000000003</v>
      </c>
      <c r="F44" s="11">
        <f t="shared" si="0"/>
        <v>6.3916000000000039</v>
      </c>
      <c r="G44" s="12">
        <f>Ocupados_Proy!$D$44</f>
        <v>432509</v>
      </c>
    </row>
    <row r="45" spans="1:7" ht="15" customHeight="1" x14ac:dyDescent="0.25">
      <c r="A45" s="8" t="s">
        <v>56</v>
      </c>
      <c r="B45" s="13">
        <v>2027</v>
      </c>
      <c r="C45" s="9">
        <v>77.239999999999995</v>
      </c>
      <c r="D45" s="9">
        <v>74.064300000000003</v>
      </c>
      <c r="E45" s="9">
        <v>80.5518</v>
      </c>
      <c r="F45" s="14">
        <f t="shared" si="0"/>
        <v>6.4874999999999972</v>
      </c>
      <c r="G45" s="15">
        <f>Ocupados_Proy!$D$45</f>
        <v>97027</v>
      </c>
    </row>
    <row r="46" spans="1:7" ht="15" customHeight="1" x14ac:dyDescent="0.25">
      <c r="A46" s="6" t="s">
        <v>57</v>
      </c>
      <c r="B46" s="10">
        <v>2027</v>
      </c>
      <c r="C46" s="7">
        <v>63.695399999999999</v>
      </c>
      <c r="D46" s="7">
        <v>60.630699999999997</v>
      </c>
      <c r="E46" s="7">
        <v>66.915000000000006</v>
      </c>
      <c r="F46" s="11">
        <f t="shared" si="0"/>
        <v>6.2843000000000089</v>
      </c>
      <c r="G46" s="12">
        <f>Ocupados_Proy!$D$46</f>
        <v>280626</v>
      </c>
    </row>
    <row r="47" spans="1:7" ht="15" customHeight="1" x14ac:dyDescent="0.25">
      <c r="A47" s="8" t="s">
        <v>58</v>
      </c>
      <c r="B47" s="13">
        <v>2027</v>
      </c>
      <c r="C47" s="9">
        <v>71.987200000000001</v>
      </c>
      <c r="D47" s="9">
        <v>68.849999999999994</v>
      </c>
      <c r="E47" s="9">
        <v>75.267300000000006</v>
      </c>
      <c r="F47" s="14">
        <f t="shared" si="0"/>
        <v>6.4173000000000116</v>
      </c>
      <c r="G47" s="15">
        <f>Ocupados_Proy!$D$47</f>
        <v>139379</v>
      </c>
    </row>
    <row r="48" spans="1:7" ht="15" customHeight="1" x14ac:dyDescent="0.25">
      <c r="A48" s="6" t="s">
        <v>59</v>
      </c>
      <c r="B48" s="10">
        <v>2027</v>
      </c>
      <c r="C48" s="7">
        <v>57.382399999999997</v>
      </c>
      <c r="D48" s="7">
        <v>54.324300000000001</v>
      </c>
      <c r="E48" s="7">
        <v>60.6126</v>
      </c>
      <c r="F48" s="11">
        <f t="shared" si="0"/>
        <v>6.2882999999999996</v>
      </c>
      <c r="G48" s="12">
        <f>Ocupados_Proy!$D$48</f>
        <v>408200</v>
      </c>
    </row>
    <row r="49" spans="1:7" ht="15" customHeight="1" x14ac:dyDescent="0.25">
      <c r="A49" s="8" t="s">
        <v>60</v>
      </c>
      <c r="B49" s="13">
        <v>2027</v>
      </c>
      <c r="C49" s="9">
        <v>53.585000000000001</v>
      </c>
      <c r="D49" s="9">
        <v>50.502800000000001</v>
      </c>
      <c r="E49" s="9">
        <v>56.855200000000004</v>
      </c>
      <c r="F49" s="14">
        <f t="shared" si="0"/>
        <v>6.3524000000000029</v>
      </c>
      <c r="G49" s="15">
        <f>Ocupados_Proy!$D$49</f>
        <v>208115</v>
      </c>
    </row>
    <row r="50" spans="1:7" ht="15" customHeight="1" x14ac:dyDescent="0.25">
      <c r="A50" s="6" t="s">
        <v>61</v>
      </c>
      <c r="B50" s="10">
        <v>2027</v>
      </c>
      <c r="C50" s="7">
        <v>66.963700000000003</v>
      </c>
      <c r="D50" s="7">
        <v>63.826900000000002</v>
      </c>
      <c r="E50" s="7">
        <v>70.2547</v>
      </c>
      <c r="F50" s="11">
        <f t="shared" si="0"/>
        <v>6.4277999999999977</v>
      </c>
      <c r="G50" s="12">
        <f>Ocupados_Proy!$D$50</f>
        <v>226118</v>
      </c>
    </row>
    <row r="51" spans="1:7" ht="15" customHeight="1" x14ac:dyDescent="0.25">
      <c r="A51" s="6" t="s">
        <v>39</v>
      </c>
      <c r="B51" s="10">
        <v>2028</v>
      </c>
      <c r="C51" s="7">
        <v>40.752299999999998</v>
      </c>
      <c r="D51" s="7">
        <v>37.286799999999999</v>
      </c>
      <c r="E51" s="7">
        <v>44.5398</v>
      </c>
      <c r="F51" s="11">
        <f t="shared" si="0"/>
        <v>7.2530000000000001</v>
      </c>
      <c r="G51" s="12">
        <f>Ocupados_Proy!$D$51</f>
        <v>5682243</v>
      </c>
    </row>
    <row r="52" spans="1:7" ht="15" customHeight="1" x14ac:dyDescent="0.25">
      <c r="A52" s="8" t="s">
        <v>40</v>
      </c>
      <c r="B52" s="13">
        <v>2028</v>
      </c>
      <c r="C52" s="9">
        <v>40.856099999999998</v>
      </c>
      <c r="D52" s="9">
        <v>36.514299999999999</v>
      </c>
      <c r="E52" s="9">
        <v>45.713999999999999</v>
      </c>
      <c r="F52" s="14">
        <f t="shared" si="0"/>
        <v>9.1997</v>
      </c>
      <c r="G52" s="15">
        <f>Ocupados_Proy!$D$52</f>
        <v>1760328</v>
      </c>
    </row>
    <row r="53" spans="1:7" ht="15" customHeight="1" x14ac:dyDescent="0.25">
      <c r="A53" s="6" t="s">
        <v>41</v>
      </c>
      <c r="B53" s="10">
        <v>2028</v>
      </c>
      <c r="C53" s="7">
        <v>48.0548</v>
      </c>
      <c r="D53" s="7">
        <v>43.958500000000001</v>
      </c>
      <c r="E53" s="7">
        <v>52.532800000000002</v>
      </c>
      <c r="F53" s="11">
        <f t="shared" si="0"/>
        <v>8.5743000000000009</v>
      </c>
      <c r="G53" s="12">
        <f>Ocupados_Proy!$D$53</f>
        <v>1559635</v>
      </c>
    </row>
    <row r="54" spans="1:7" ht="15" customHeight="1" x14ac:dyDescent="0.25">
      <c r="A54" s="8" t="s">
        <v>42</v>
      </c>
      <c r="B54" s="13">
        <v>2028</v>
      </c>
      <c r="C54" s="9">
        <v>54.524799999999999</v>
      </c>
      <c r="D54" s="9">
        <v>50.941499999999998</v>
      </c>
      <c r="E54" s="9">
        <v>58.36</v>
      </c>
      <c r="F54" s="14">
        <f t="shared" si="0"/>
        <v>7.4185000000000016</v>
      </c>
      <c r="G54" s="15">
        <f>Ocupados_Proy!$D$54</f>
        <v>858740</v>
      </c>
    </row>
    <row r="55" spans="1:7" ht="15" customHeight="1" x14ac:dyDescent="0.25">
      <c r="A55" s="6" t="s">
        <v>43</v>
      </c>
      <c r="B55" s="10">
        <v>2028</v>
      </c>
      <c r="C55" s="7">
        <v>60.221800000000002</v>
      </c>
      <c r="D55" s="7">
        <v>55.822400000000002</v>
      </c>
      <c r="E55" s="7">
        <v>64.968000000000004</v>
      </c>
      <c r="F55" s="11">
        <f t="shared" si="0"/>
        <v>9.1456000000000017</v>
      </c>
      <c r="G55" s="12">
        <f>Ocupados_Proy!$D$55</f>
        <v>424246</v>
      </c>
    </row>
    <row r="56" spans="1:7" ht="15" customHeight="1" x14ac:dyDescent="0.25">
      <c r="A56" s="8" t="s">
        <v>44</v>
      </c>
      <c r="B56" s="13">
        <v>2028</v>
      </c>
      <c r="C56" s="9">
        <v>47.861400000000003</v>
      </c>
      <c r="D56" s="9">
        <v>43.888399999999997</v>
      </c>
      <c r="E56" s="9">
        <v>52.193899999999999</v>
      </c>
      <c r="F56" s="14">
        <f t="shared" si="0"/>
        <v>8.3055000000000021</v>
      </c>
      <c r="G56" s="15">
        <f>Ocupados_Proy!$D$56</f>
        <v>331852</v>
      </c>
    </row>
    <row r="57" spans="1:7" ht="15" customHeight="1" x14ac:dyDescent="0.25">
      <c r="A57" s="6" t="s">
        <v>45</v>
      </c>
      <c r="B57" s="10">
        <v>2028</v>
      </c>
      <c r="C57" s="7">
        <v>67.2911</v>
      </c>
      <c r="D57" s="7">
        <v>64.062700000000007</v>
      </c>
      <c r="E57" s="7">
        <v>70.682199999999995</v>
      </c>
      <c r="F57" s="11">
        <f t="shared" si="0"/>
        <v>6.6194999999999879</v>
      </c>
      <c r="G57" s="12">
        <f>Ocupados_Proy!$D$57</f>
        <v>290134</v>
      </c>
    </row>
    <row r="58" spans="1:7" ht="15" customHeight="1" x14ac:dyDescent="0.25">
      <c r="A58" s="8" t="s">
        <v>46</v>
      </c>
      <c r="B58" s="13">
        <v>2028</v>
      </c>
      <c r="C58" s="9">
        <v>55.813800000000001</v>
      </c>
      <c r="D58" s="9">
        <v>52.037199999999999</v>
      </c>
      <c r="E58" s="9">
        <v>59.864400000000003</v>
      </c>
      <c r="F58" s="14">
        <f t="shared" si="0"/>
        <v>7.8272000000000048</v>
      </c>
      <c r="G58" s="15">
        <f>Ocupados_Proy!$D$58</f>
        <v>330958</v>
      </c>
    </row>
    <row r="59" spans="1:7" ht="15" customHeight="1" x14ac:dyDescent="0.25">
      <c r="A59" s="6" t="s">
        <v>47</v>
      </c>
      <c r="B59" s="10">
        <v>2028</v>
      </c>
      <c r="C59" s="7">
        <v>68.256</v>
      </c>
      <c r="D59" s="7">
        <v>63.984099999999998</v>
      </c>
      <c r="E59" s="7">
        <v>72.813100000000006</v>
      </c>
      <c r="F59" s="11">
        <f t="shared" si="0"/>
        <v>8.8290000000000077</v>
      </c>
      <c r="G59" s="12">
        <f>Ocupados_Proy!$D$59</f>
        <v>548572</v>
      </c>
    </row>
    <row r="60" spans="1:7" ht="15" customHeight="1" x14ac:dyDescent="0.25">
      <c r="A60" s="8" t="s">
        <v>48</v>
      </c>
      <c r="B60" s="13">
        <v>2028</v>
      </c>
      <c r="C60" s="9">
        <v>59.124600000000001</v>
      </c>
      <c r="D60" s="9">
        <v>55.680900000000001</v>
      </c>
      <c r="E60" s="9">
        <v>62.781199999999998</v>
      </c>
      <c r="F60" s="14">
        <f t="shared" si="0"/>
        <v>7.1002999999999972</v>
      </c>
      <c r="G60" s="15">
        <f>Ocupados_Proy!$D$60</f>
        <v>381050</v>
      </c>
    </row>
    <row r="61" spans="1:7" ht="15" customHeight="1" x14ac:dyDescent="0.25">
      <c r="A61" s="6" t="s">
        <v>49</v>
      </c>
      <c r="B61" s="10">
        <v>2028</v>
      </c>
      <c r="C61" s="7">
        <v>72.642600000000002</v>
      </c>
      <c r="D61" s="7">
        <v>68.864900000000006</v>
      </c>
      <c r="E61" s="7">
        <v>76.627600000000001</v>
      </c>
      <c r="F61" s="11">
        <f t="shared" si="0"/>
        <v>7.7626999999999953</v>
      </c>
      <c r="G61" s="12">
        <f>Ocupados_Proy!$D$61</f>
        <v>406640</v>
      </c>
    </row>
    <row r="62" spans="1:7" ht="15" customHeight="1" x14ac:dyDescent="0.25">
      <c r="A62" s="8" t="s">
        <v>50</v>
      </c>
      <c r="B62" s="13">
        <v>2028</v>
      </c>
      <c r="C62" s="9">
        <v>54.470700000000001</v>
      </c>
      <c r="D62" s="9">
        <v>51.026499999999999</v>
      </c>
      <c r="E62" s="9">
        <v>58.147399999999998</v>
      </c>
      <c r="F62" s="14">
        <f t="shared" si="0"/>
        <v>7.1208999999999989</v>
      </c>
      <c r="G62" s="15">
        <f>Ocupados_Proy!$D$62</f>
        <v>672646</v>
      </c>
    </row>
    <row r="63" spans="1:7" ht="15" customHeight="1" x14ac:dyDescent="0.25">
      <c r="A63" s="6" t="s">
        <v>51</v>
      </c>
      <c r="B63" s="10">
        <v>2028</v>
      </c>
      <c r="C63" s="7">
        <v>59.666200000000003</v>
      </c>
      <c r="D63" s="7">
        <v>56.12</v>
      </c>
      <c r="E63" s="7">
        <v>63.436500000000002</v>
      </c>
      <c r="F63" s="11">
        <f t="shared" si="0"/>
        <v>7.3165000000000049</v>
      </c>
      <c r="G63" s="12">
        <f>Ocupados_Proy!$D$63</f>
        <v>416498</v>
      </c>
    </row>
    <row r="64" spans="1:7" ht="15" customHeight="1" x14ac:dyDescent="0.25">
      <c r="A64" s="8" t="s">
        <v>52</v>
      </c>
      <c r="B64" s="13">
        <v>2028</v>
      </c>
      <c r="C64" s="9">
        <v>59.5595</v>
      </c>
      <c r="D64" s="9">
        <v>56.151800000000001</v>
      </c>
      <c r="E64" s="9">
        <v>63.173999999999999</v>
      </c>
      <c r="F64" s="14">
        <f t="shared" si="0"/>
        <v>7.022199999999998</v>
      </c>
      <c r="G64" s="15">
        <f>Ocupados_Proy!$D$64</f>
        <v>139146</v>
      </c>
    </row>
    <row r="65" spans="1:7" ht="15" customHeight="1" x14ac:dyDescent="0.25">
      <c r="A65" s="6" t="s">
        <v>53</v>
      </c>
      <c r="B65" s="10">
        <v>2028</v>
      </c>
      <c r="C65" s="7">
        <v>73.897000000000006</v>
      </c>
      <c r="D65" s="7">
        <v>70.256600000000006</v>
      </c>
      <c r="E65" s="7">
        <v>77.726100000000002</v>
      </c>
      <c r="F65" s="11">
        <f t="shared" si="0"/>
        <v>7.4694999999999965</v>
      </c>
      <c r="G65" s="12">
        <f>Ocupados_Proy!$D$65</f>
        <v>133191</v>
      </c>
    </row>
    <row r="66" spans="1:7" ht="15" customHeight="1" x14ac:dyDescent="0.25">
      <c r="A66" s="8" t="s">
        <v>54</v>
      </c>
      <c r="B66" s="13">
        <v>2028</v>
      </c>
      <c r="C66" s="9">
        <v>67.4465</v>
      </c>
      <c r="D66" s="9">
        <v>63.9495</v>
      </c>
      <c r="E66" s="9">
        <v>71.134799999999998</v>
      </c>
      <c r="F66" s="14">
        <f t="shared" si="0"/>
        <v>7.185299999999998</v>
      </c>
      <c r="G66" s="15">
        <f>Ocupados_Proy!$D$66</f>
        <v>253200</v>
      </c>
    </row>
    <row r="67" spans="1:7" ht="15" customHeight="1" x14ac:dyDescent="0.25">
      <c r="A67" s="6" t="s">
        <v>55</v>
      </c>
      <c r="B67" s="10">
        <v>2028</v>
      </c>
      <c r="C67" s="7">
        <v>65.969300000000004</v>
      </c>
      <c r="D67" s="7">
        <v>62.398699999999998</v>
      </c>
      <c r="E67" s="7">
        <v>69.744100000000003</v>
      </c>
      <c r="F67" s="11">
        <f t="shared" si="0"/>
        <v>7.345400000000005</v>
      </c>
      <c r="G67" s="12">
        <f>Ocupados_Proy!$D$67</f>
        <v>443371</v>
      </c>
    </row>
    <row r="68" spans="1:7" ht="15" customHeight="1" x14ac:dyDescent="0.25">
      <c r="A68" s="8" t="s">
        <v>56</v>
      </c>
      <c r="B68" s="13">
        <v>2028</v>
      </c>
      <c r="C68" s="9">
        <v>76.9114</v>
      </c>
      <c r="D68" s="9">
        <v>73.271799999999999</v>
      </c>
      <c r="E68" s="9">
        <v>80.731899999999996</v>
      </c>
      <c r="F68" s="14">
        <f t="shared" si="0"/>
        <v>7.4600999999999971</v>
      </c>
      <c r="G68" s="15">
        <f>Ocupados_Proy!$D$68</f>
        <v>98499</v>
      </c>
    </row>
    <row r="69" spans="1:7" ht="15" customHeight="1" x14ac:dyDescent="0.25">
      <c r="A69" s="6" t="s">
        <v>57</v>
      </c>
      <c r="B69" s="10">
        <v>2028</v>
      </c>
      <c r="C69" s="7">
        <v>63.377299999999998</v>
      </c>
      <c r="D69" s="7">
        <v>59.869500000000002</v>
      </c>
      <c r="E69" s="7">
        <v>67.090699999999998</v>
      </c>
      <c r="F69" s="11">
        <f t="shared" ref="F69:F132" si="1">E69-D69</f>
        <v>7.2211999999999961</v>
      </c>
      <c r="G69" s="12">
        <f>Ocupados_Proy!$D$69</f>
        <v>284876</v>
      </c>
    </row>
    <row r="70" spans="1:7" ht="15" customHeight="1" x14ac:dyDescent="0.25">
      <c r="A70" s="8" t="s">
        <v>58</v>
      </c>
      <c r="B70" s="13">
        <v>2028</v>
      </c>
      <c r="C70" s="9">
        <v>71.662199999999999</v>
      </c>
      <c r="D70" s="9">
        <v>68.068399999999997</v>
      </c>
      <c r="E70" s="9">
        <v>75.445800000000006</v>
      </c>
      <c r="F70" s="14">
        <f t="shared" si="1"/>
        <v>7.3774000000000086</v>
      </c>
      <c r="G70" s="15">
        <f>Ocupados_Proy!$D$70</f>
        <v>140716</v>
      </c>
    </row>
    <row r="71" spans="1:7" ht="15" customHeight="1" x14ac:dyDescent="0.25">
      <c r="A71" s="6" t="s">
        <v>59</v>
      </c>
      <c r="B71" s="10">
        <v>2028</v>
      </c>
      <c r="C71" s="7">
        <v>57.0642</v>
      </c>
      <c r="D71" s="7">
        <v>53.567300000000003</v>
      </c>
      <c r="E71" s="7">
        <v>60.789400000000001</v>
      </c>
      <c r="F71" s="11">
        <f t="shared" si="1"/>
        <v>7.2220999999999975</v>
      </c>
      <c r="G71" s="12">
        <f>Ocupados_Proy!$D$71</f>
        <v>413710</v>
      </c>
    </row>
    <row r="72" spans="1:7" ht="15" customHeight="1" x14ac:dyDescent="0.25">
      <c r="A72" s="8" t="s">
        <v>60</v>
      </c>
      <c r="B72" s="13">
        <v>2028</v>
      </c>
      <c r="C72" s="9">
        <v>53.2637</v>
      </c>
      <c r="D72" s="9">
        <v>49.741999999999997</v>
      </c>
      <c r="E72" s="9">
        <v>57.034599999999998</v>
      </c>
      <c r="F72" s="14">
        <f t="shared" si="1"/>
        <v>7.2926000000000002</v>
      </c>
      <c r="G72" s="15">
        <f>Ocupados_Proy!$D$72</f>
        <v>207858</v>
      </c>
    </row>
    <row r="73" spans="1:7" ht="15" customHeight="1" x14ac:dyDescent="0.25">
      <c r="A73" s="6" t="s">
        <v>61</v>
      </c>
      <c r="B73" s="10">
        <v>2028</v>
      </c>
      <c r="C73" s="7">
        <v>66.638300000000001</v>
      </c>
      <c r="D73" s="7">
        <v>63.0471</v>
      </c>
      <c r="E73" s="7">
        <v>70.434100000000001</v>
      </c>
      <c r="F73" s="11">
        <f t="shared" si="1"/>
        <v>7.3870000000000005</v>
      </c>
      <c r="G73" s="12">
        <f>Ocupados_Proy!$D$73</f>
        <v>230252</v>
      </c>
    </row>
    <row r="74" spans="1:7" ht="15" customHeight="1" x14ac:dyDescent="0.25">
      <c r="A74" s="6" t="s">
        <v>39</v>
      </c>
      <c r="B74" s="10">
        <v>2029</v>
      </c>
      <c r="C74" s="7">
        <v>40.435099999999998</v>
      </c>
      <c r="D74" s="7">
        <v>36.610500000000002</v>
      </c>
      <c r="E74" s="7">
        <v>44.659199999999998</v>
      </c>
      <c r="F74" s="11">
        <f t="shared" si="1"/>
        <v>8.0486999999999966</v>
      </c>
      <c r="G74" s="12">
        <f>Ocupados_Proy!$D$74</f>
        <v>5669847</v>
      </c>
    </row>
    <row r="75" spans="1:7" ht="15" customHeight="1" x14ac:dyDescent="0.25">
      <c r="A75" s="8" t="s">
        <v>40</v>
      </c>
      <c r="B75" s="13">
        <v>2029</v>
      </c>
      <c r="C75" s="9">
        <v>40.454500000000003</v>
      </c>
      <c r="D75" s="9">
        <v>35.679099999999998</v>
      </c>
      <c r="E75" s="9">
        <v>45.868899999999996</v>
      </c>
      <c r="F75" s="14">
        <f t="shared" si="1"/>
        <v>10.189799999999998</v>
      </c>
      <c r="G75" s="15">
        <f>Ocupados_Proy!$D$75</f>
        <v>1752800</v>
      </c>
    </row>
    <row r="76" spans="1:7" ht="15" customHeight="1" x14ac:dyDescent="0.25">
      <c r="A76" s="6" t="s">
        <v>41</v>
      </c>
      <c r="B76" s="10">
        <v>2029</v>
      </c>
      <c r="C76" s="7">
        <v>47.6798</v>
      </c>
      <c r="D76" s="7">
        <v>43.159199999999998</v>
      </c>
      <c r="E76" s="7">
        <v>52.673900000000003</v>
      </c>
      <c r="F76" s="11">
        <f t="shared" si="1"/>
        <v>9.5147000000000048</v>
      </c>
      <c r="G76" s="12">
        <f>Ocupados_Proy!$D$76</f>
        <v>1550229</v>
      </c>
    </row>
    <row r="77" spans="1:7" ht="15" customHeight="1" x14ac:dyDescent="0.25">
      <c r="A77" s="8" t="s">
        <v>42</v>
      </c>
      <c r="B77" s="13">
        <v>2029</v>
      </c>
      <c r="C77" s="9">
        <v>54.1999</v>
      </c>
      <c r="D77" s="9">
        <v>50.2333</v>
      </c>
      <c r="E77" s="9">
        <v>58.479599999999998</v>
      </c>
      <c r="F77" s="14">
        <f t="shared" si="1"/>
        <v>8.246299999999998</v>
      </c>
      <c r="G77" s="15">
        <f>Ocupados_Proy!$D$77</f>
        <v>855276</v>
      </c>
    </row>
    <row r="78" spans="1:7" ht="15" customHeight="1" x14ac:dyDescent="0.25">
      <c r="A78" s="6" t="s">
        <v>43</v>
      </c>
      <c r="B78" s="10">
        <v>2029</v>
      </c>
      <c r="C78" s="7">
        <v>59.8215</v>
      </c>
      <c r="D78" s="7">
        <v>54.957000000000001</v>
      </c>
      <c r="E78" s="7">
        <v>65.116600000000005</v>
      </c>
      <c r="F78" s="11">
        <f t="shared" si="1"/>
        <v>10.159600000000005</v>
      </c>
      <c r="G78" s="12">
        <f>Ocupados_Proy!$D$78</f>
        <v>423903</v>
      </c>
    </row>
    <row r="79" spans="1:7" ht="15" customHeight="1" x14ac:dyDescent="0.25">
      <c r="A79" s="8" t="s">
        <v>44</v>
      </c>
      <c r="B79" s="13">
        <v>2029</v>
      </c>
      <c r="C79" s="9">
        <v>47.498100000000001</v>
      </c>
      <c r="D79" s="9">
        <v>43.112000000000002</v>
      </c>
      <c r="E79" s="9">
        <v>52.330300000000001</v>
      </c>
      <c r="F79" s="14">
        <f t="shared" si="1"/>
        <v>9.2182999999999993</v>
      </c>
      <c r="G79" s="15">
        <f>Ocupados_Proy!$D$79</f>
        <v>333321</v>
      </c>
    </row>
    <row r="80" spans="1:7" ht="15" customHeight="1" x14ac:dyDescent="0.25">
      <c r="A80" s="6" t="s">
        <v>45</v>
      </c>
      <c r="B80" s="10">
        <v>2029</v>
      </c>
      <c r="C80" s="7">
        <v>67.000799999999998</v>
      </c>
      <c r="D80" s="7">
        <v>63.417299999999997</v>
      </c>
      <c r="E80" s="7">
        <v>70.786900000000003</v>
      </c>
      <c r="F80" s="11">
        <f t="shared" si="1"/>
        <v>7.3696000000000055</v>
      </c>
      <c r="G80" s="12">
        <f>Ocupados_Proy!$D$80</f>
        <v>290716</v>
      </c>
    </row>
    <row r="81" spans="1:7" ht="15" customHeight="1" x14ac:dyDescent="0.25">
      <c r="A81" s="8" t="s">
        <v>46</v>
      </c>
      <c r="B81" s="13">
        <v>2029</v>
      </c>
      <c r="C81" s="9">
        <v>55.470999999999997</v>
      </c>
      <c r="D81" s="9">
        <v>51.291699999999999</v>
      </c>
      <c r="E81" s="9">
        <v>59.9908</v>
      </c>
      <c r="F81" s="14">
        <f t="shared" si="1"/>
        <v>8.6991000000000014</v>
      </c>
      <c r="G81" s="15">
        <f>Ocupados_Proy!$D$81</f>
        <v>330336</v>
      </c>
    </row>
    <row r="82" spans="1:7" ht="15" customHeight="1" x14ac:dyDescent="0.25">
      <c r="A82" s="6" t="s">
        <v>47</v>
      </c>
      <c r="B82" s="10">
        <v>2029</v>
      </c>
      <c r="C82" s="7">
        <v>67.869299999999996</v>
      </c>
      <c r="D82" s="7">
        <v>63.138100000000001</v>
      </c>
      <c r="E82" s="7">
        <v>72.954999999999998</v>
      </c>
      <c r="F82" s="11">
        <f t="shared" si="1"/>
        <v>9.8168999999999969</v>
      </c>
      <c r="G82" s="12">
        <f>Ocupados_Proy!$D$82</f>
        <v>548097</v>
      </c>
    </row>
    <row r="83" spans="1:7" ht="15" customHeight="1" x14ac:dyDescent="0.25">
      <c r="A83" s="8" t="s">
        <v>48</v>
      </c>
      <c r="B83" s="13">
        <v>2029</v>
      </c>
      <c r="C83" s="9">
        <v>58.813400000000001</v>
      </c>
      <c r="D83" s="9">
        <v>54.997</v>
      </c>
      <c r="E83" s="9">
        <v>62.8947</v>
      </c>
      <c r="F83" s="14">
        <f t="shared" si="1"/>
        <v>7.8977000000000004</v>
      </c>
      <c r="G83" s="15">
        <f>Ocupados_Proy!$D$83</f>
        <v>382115</v>
      </c>
    </row>
    <row r="84" spans="1:7" ht="15" customHeight="1" x14ac:dyDescent="0.25">
      <c r="A84" s="6" t="s">
        <v>49</v>
      </c>
      <c r="B84" s="10">
        <v>2029</v>
      </c>
      <c r="C84" s="7">
        <v>72.302300000000002</v>
      </c>
      <c r="D84" s="7">
        <v>68.111599999999996</v>
      </c>
      <c r="E84" s="7">
        <v>76.750900000000001</v>
      </c>
      <c r="F84" s="11">
        <f t="shared" si="1"/>
        <v>8.6393000000000058</v>
      </c>
      <c r="G84" s="12">
        <f>Ocupados_Proy!$D$84</f>
        <v>414279</v>
      </c>
    </row>
    <row r="85" spans="1:7" ht="15" customHeight="1" x14ac:dyDescent="0.25">
      <c r="A85" s="8" t="s">
        <v>50</v>
      </c>
      <c r="B85" s="13">
        <v>2029</v>
      </c>
      <c r="C85" s="9">
        <v>54.158799999999999</v>
      </c>
      <c r="D85" s="9">
        <v>50.344700000000003</v>
      </c>
      <c r="E85" s="9">
        <v>58.261899999999997</v>
      </c>
      <c r="F85" s="14">
        <f t="shared" si="1"/>
        <v>7.917199999999994</v>
      </c>
      <c r="G85" s="15">
        <f>Ocupados_Proy!$D$85</f>
        <v>672048</v>
      </c>
    </row>
    <row r="86" spans="1:7" ht="15" customHeight="1" x14ac:dyDescent="0.25">
      <c r="A86" s="6" t="s">
        <v>51</v>
      </c>
      <c r="B86" s="10">
        <v>2029</v>
      </c>
      <c r="C86" s="7">
        <v>59.345599999999997</v>
      </c>
      <c r="D86" s="7">
        <v>55.4163</v>
      </c>
      <c r="E86" s="7">
        <v>63.553600000000003</v>
      </c>
      <c r="F86" s="11">
        <f t="shared" si="1"/>
        <v>8.1373000000000033</v>
      </c>
      <c r="G86" s="12">
        <f>Ocupados_Proy!$D$86</f>
        <v>419474</v>
      </c>
    </row>
    <row r="87" spans="1:7" ht="15" customHeight="1" x14ac:dyDescent="0.25">
      <c r="A87" s="8" t="s">
        <v>52</v>
      </c>
      <c r="B87" s="13">
        <v>2029</v>
      </c>
      <c r="C87" s="9">
        <v>59.2517</v>
      </c>
      <c r="D87" s="9">
        <v>55.474499999999999</v>
      </c>
      <c r="E87" s="9">
        <v>63.286099999999998</v>
      </c>
      <c r="F87" s="14">
        <f t="shared" si="1"/>
        <v>7.8115999999999985</v>
      </c>
      <c r="G87" s="15">
        <f>Ocupados_Proy!$D$87</f>
        <v>140576</v>
      </c>
    </row>
    <row r="88" spans="1:7" ht="15" customHeight="1" x14ac:dyDescent="0.25">
      <c r="A88" s="6" t="s">
        <v>53</v>
      </c>
      <c r="B88" s="10">
        <v>2029</v>
      </c>
      <c r="C88" s="7">
        <v>73.569500000000005</v>
      </c>
      <c r="D88" s="7">
        <v>69.529300000000006</v>
      </c>
      <c r="E88" s="7">
        <v>77.844499999999996</v>
      </c>
      <c r="F88" s="11">
        <f t="shared" si="1"/>
        <v>8.3151999999999902</v>
      </c>
      <c r="G88" s="12">
        <f>Ocupados_Proy!$D$88</f>
        <v>134764</v>
      </c>
    </row>
    <row r="89" spans="1:7" ht="15" customHeight="1" x14ac:dyDescent="0.25">
      <c r="A89" s="8" t="s">
        <v>54</v>
      </c>
      <c r="B89" s="13">
        <v>2029</v>
      </c>
      <c r="C89" s="9">
        <v>67.131600000000006</v>
      </c>
      <c r="D89" s="9">
        <v>63.252099999999999</v>
      </c>
      <c r="E89" s="9">
        <v>71.248900000000006</v>
      </c>
      <c r="F89" s="14">
        <f t="shared" si="1"/>
        <v>7.9968000000000075</v>
      </c>
      <c r="G89" s="15">
        <f>Ocupados_Proy!$D$89</f>
        <v>255186</v>
      </c>
    </row>
    <row r="90" spans="1:7" ht="15" customHeight="1" x14ac:dyDescent="0.25">
      <c r="A90" s="6" t="s">
        <v>55</v>
      </c>
      <c r="B90" s="10">
        <v>2029</v>
      </c>
      <c r="C90" s="7">
        <v>65.647300000000001</v>
      </c>
      <c r="D90" s="7">
        <v>61.6877</v>
      </c>
      <c r="E90" s="7">
        <v>69.861000000000004</v>
      </c>
      <c r="F90" s="11">
        <f t="shared" si="1"/>
        <v>8.1733000000000047</v>
      </c>
      <c r="G90" s="12">
        <f>Ocupados_Proy!$D$90</f>
        <v>454137</v>
      </c>
    </row>
    <row r="91" spans="1:7" ht="15" customHeight="1" x14ac:dyDescent="0.25">
      <c r="A91" s="8" t="s">
        <v>56</v>
      </c>
      <c r="B91" s="13">
        <v>2029</v>
      </c>
      <c r="C91" s="9">
        <v>76.584299999999999</v>
      </c>
      <c r="D91" s="9">
        <v>72.543800000000005</v>
      </c>
      <c r="E91" s="9">
        <v>80.849800000000002</v>
      </c>
      <c r="F91" s="14">
        <f t="shared" si="1"/>
        <v>8.3059999999999974</v>
      </c>
      <c r="G91" s="15">
        <f>Ocupados_Proy!$D$91</f>
        <v>99892</v>
      </c>
    </row>
    <row r="92" spans="1:7" ht="15" customHeight="1" x14ac:dyDescent="0.25">
      <c r="A92" s="6" t="s">
        <v>57</v>
      </c>
      <c r="B92" s="10">
        <v>2029</v>
      </c>
      <c r="C92" s="7">
        <v>63.0608</v>
      </c>
      <c r="D92" s="7">
        <v>59.171500000000002</v>
      </c>
      <c r="E92" s="7">
        <v>67.205799999999996</v>
      </c>
      <c r="F92" s="11">
        <f t="shared" si="1"/>
        <v>8.0342999999999947</v>
      </c>
      <c r="G92" s="12">
        <f>Ocupados_Proy!$D$92</f>
        <v>289003</v>
      </c>
    </row>
    <row r="93" spans="1:7" ht="15" customHeight="1" x14ac:dyDescent="0.25">
      <c r="A93" s="8" t="s">
        <v>58</v>
      </c>
      <c r="B93" s="13">
        <v>2029</v>
      </c>
      <c r="C93" s="9">
        <v>71.338800000000006</v>
      </c>
      <c r="D93" s="9">
        <v>67.350999999999999</v>
      </c>
      <c r="E93" s="9">
        <v>75.562799999999996</v>
      </c>
      <c r="F93" s="14">
        <f t="shared" si="1"/>
        <v>8.2117999999999967</v>
      </c>
      <c r="G93" s="15">
        <f>Ocupados_Proy!$D$93</f>
        <v>141954</v>
      </c>
    </row>
    <row r="94" spans="1:7" ht="15" customHeight="1" x14ac:dyDescent="0.25">
      <c r="A94" s="6" t="s">
        <v>59</v>
      </c>
      <c r="B94" s="10">
        <v>2029</v>
      </c>
      <c r="C94" s="7">
        <v>56.747799999999998</v>
      </c>
      <c r="D94" s="7">
        <v>52.874200000000002</v>
      </c>
      <c r="E94" s="7">
        <v>60.905200000000001</v>
      </c>
      <c r="F94" s="11">
        <f t="shared" si="1"/>
        <v>8.0309999999999988</v>
      </c>
      <c r="G94" s="12">
        <f>Ocupados_Proy!$D$94</f>
        <v>418961</v>
      </c>
    </row>
    <row r="95" spans="1:7" ht="15" customHeight="1" x14ac:dyDescent="0.25">
      <c r="A95" s="8" t="s">
        <v>60</v>
      </c>
      <c r="B95" s="13">
        <v>2029</v>
      </c>
      <c r="C95" s="9">
        <v>52.944299999999998</v>
      </c>
      <c r="D95" s="9">
        <v>49.046199999999999</v>
      </c>
      <c r="E95" s="9">
        <v>57.152200000000001</v>
      </c>
      <c r="F95" s="14">
        <f t="shared" si="1"/>
        <v>8.1060000000000016</v>
      </c>
      <c r="G95" s="15">
        <f>Ocupados_Proy!$D$95</f>
        <v>207513</v>
      </c>
    </row>
    <row r="96" spans="1:7" ht="15" customHeight="1" x14ac:dyDescent="0.25">
      <c r="A96" s="6" t="s">
        <v>61</v>
      </c>
      <c r="B96" s="10">
        <v>2029</v>
      </c>
      <c r="C96" s="7">
        <v>66.314499999999995</v>
      </c>
      <c r="D96" s="7">
        <v>62.331800000000001</v>
      </c>
      <c r="E96" s="7">
        <v>70.551699999999997</v>
      </c>
      <c r="F96" s="11">
        <f t="shared" si="1"/>
        <v>8.2198999999999955</v>
      </c>
      <c r="G96" s="12">
        <f>Ocupados_Proy!$D$96</f>
        <v>234246</v>
      </c>
    </row>
    <row r="97" spans="1:7" ht="15" customHeight="1" x14ac:dyDescent="0.25">
      <c r="A97" s="6" t="s">
        <v>39</v>
      </c>
      <c r="B97" s="10">
        <v>2030</v>
      </c>
      <c r="C97" s="7">
        <v>40.120399999999997</v>
      </c>
      <c r="D97" s="7">
        <v>35.982700000000001</v>
      </c>
      <c r="E97" s="7">
        <v>44.733800000000002</v>
      </c>
      <c r="F97" s="11">
        <f t="shared" si="1"/>
        <v>8.751100000000001</v>
      </c>
      <c r="G97" s="12">
        <f>Ocupados_Proy!$D$97</f>
        <v>5654625</v>
      </c>
    </row>
    <row r="98" spans="1:7" ht="15" customHeight="1" x14ac:dyDescent="0.25">
      <c r="A98" s="8" t="s">
        <v>40</v>
      </c>
      <c r="B98" s="13">
        <v>2030</v>
      </c>
      <c r="C98" s="9">
        <v>40.056800000000003</v>
      </c>
      <c r="D98" s="9">
        <v>34.907400000000003</v>
      </c>
      <c r="E98" s="9">
        <v>45.965899999999998</v>
      </c>
      <c r="F98" s="14">
        <f t="shared" si="1"/>
        <v>11.058499999999995</v>
      </c>
      <c r="G98" s="15">
        <f>Ocupados_Proy!$D$98</f>
        <v>1744659</v>
      </c>
    </row>
    <row r="99" spans="1:7" ht="15" customHeight="1" x14ac:dyDescent="0.25">
      <c r="A99" s="6" t="s">
        <v>41</v>
      </c>
      <c r="B99" s="10">
        <v>2030</v>
      </c>
      <c r="C99" s="7">
        <v>47.3078</v>
      </c>
      <c r="D99" s="7">
        <v>42.417200000000001</v>
      </c>
      <c r="E99" s="7">
        <v>52.7622</v>
      </c>
      <c r="F99" s="11">
        <f t="shared" si="1"/>
        <v>10.344999999999999</v>
      </c>
      <c r="G99" s="12">
        <f>Ocupados_Proy!$D$99</f>
        <v>1540451</v>
      </c>
    </row>
    <row r="100" spans="1:7" ht="15" customHeight="1" x14ac:dyDescent="0.25">
      <c r="A100" s="8" t="s">
        <v>42</v>
      </c>
      <c r="B100" s="13">
        <v>2030</v>
      </c>
      <c r="C100" s="9">
        <v>53.876899999999999</v>
      </c>
      <c r="D100" s="9">
        <v>49.573099999999997</v>
      </c>
      <c r="E100" s="9">
        <v>58.554299999999998</v>
      </c>
      <c r="F100" s="14">
        <f t="shared" si="1"/>
        <v>8.9812000000000012</v>
      </c>
      <c r="G100" s="15">
        <f>Ocupados_Proy!$D$100</f>
        <v>851588</v>
      </c>
    </row>
    <row r="101" spans="1:7" ht="15" customHeight="1" x14ac:dyDescent="0.25">
      <c r="A101" s="6" t="s">
        <v>43</v>
      </c>
      <c r="B101" s="10">
        <v>2030</v>
      </c>
      <c r="C101" s="7">
        <v>59.4238</v>
      </c>
      <c r="D101" s="7">
        <v>54.151499999999999</v>
      </c>
      <c r="E101" s="7">
        <v>65.209400000000002</v>
      </c>
      <c r="F101" s="11">
        <f t="shared" si="1"/>
        <v>11.057900000000004</v>
      </c>
      <c r="G101" s="12">
        <f>Ocupados_Proy!$D$101</f>
        <v>423419</v>
      </c>
    </row>
    <row r="102" spans="1:7" ht="15" customHeight="1" x14ac:dyDescent="0.25">
      <c r="A102" s="8" t="s">
        <v>44</v>
      </c>
      <c r="B102" s="13">
        <v>2030</v>
      </c>
      <c r="C102" s="9">
        <v>47.137500000000003</v>
      </c>
      <c r="D102" s="9">
        <v>42.390999999999998</v>
      </c>
      <c r="E102" s="9">
        <v>52.415599999999998</v>
      </c>
      <c r="F102" s="14">
        <f t="shared" si="1"/>
        <v>10.0246</v>
      </c>
      <c r="G102" s="15">
        <f>Ocupados_Proy!$D$102</f>
        <v>334682</v>
      </c>
    </row>
    <row r="103" spans="1:7" ht="15" customHeight="1" x14ac:dyDescent="0.25">
      <c r="A103" s="6" t="s">
        <v>45</v>
      </c>
      <c r="B103" s="10">
        <v>2030</v>
      </c>
      <c r="C103" s="7">
        <v>66.711799999999997</v>
      </c>
      <c r="D103" s="7">
        <v>62.813299999999998</v>
      </c>
      <c r="E103" s="7">
        <v>70.8523</v>
      </c>
      <c r="F103" s="11">
        <f t="shared" si="1"/>
        <v>8.0390000000000015</v>
      </c>
      <c r="G103" s="12">
        <f>Ocupados_Proy!$D$103</f>
        <v>291097</v>
      </c>
    </row>
    <row r="104" spans="1:7" ht="15" customHeight="1" x14ac:dyDescent="0.25">
      <c r="A104" s="8" t="s">
        <v>46</v>
      </c>
      <c r="B104" s="13">
        <v>2030</v>
      </c>
      <c r="C104" s="9">
        <v>55.130299999999998</v>
      </c>
      <c r="D104" s="9">
        <v>50.597099999999998</v>
      </c>
      <c r="E104" s="9">
        <v>60.069800000000001</v>
      </c>
      <c r="F104" s="14">
        <f t="shared" si="1"/>
        <v>9.4727000000000032</v>
      </c>
      <c r="G104" s="15">
        <f>Ocupados_Proy!$D$104</f>
        <v>329621</v>
      </c>
    </row>
    <row r="105" spans="1:7" ht="15" customHeight="1" x14ac:dyDescent="0.25">
      <c r="A105" s="6" t="s">
        <v>47</v>
      </c>
      <c r="B105" s="10">
        <v>2030</v>
      </c>
      <c r="C105" s="7">
        <v>67.484700000000004</v>
      </c>
      <c r="D105" s="7">
        <v>62.348799999999997</v>
      </c>
      <c r="E105" s="7">
        <v>73.043599999999998</v>
      </c>
      <c r="F105" s="11">
        <f t="shared" si="1"/>
        <v>10.694800000000001</v>
      </c>
      <c r="G105" s="12">
        <f>Ocupados_Proy!$D$105</f>
        <v>547462</v>
      </c>
    </row>
    <row r="106" spans="1:7" ht="15" customHeight="1" x14ac:dyDescent="0.25">
      <c r="A106" s="8" t="s">
        <v>48</v>
      </c>
      <c r="B106" s="13">
        <v>2030</v>
      </c>
      <c r="C106" s="9">
        <v>58.503900000000002</v>
      </c>
      <c r="D106" s="9">
        <v>54.358400000000003</v>
      </c>
      <c r="E106" s="9">
        <v>62.965699999999998</v>
      </c>
      <c r="F106" s="14">
        <f t="shared" si="1"/>
        <v>8.6072999999999951</v>
      </c>
      <c r="G106" s="15">
        <f>Ocupados_Proy!$D$106</f>
        <v>383105</v>
      </c>
    </row>
    <row r="107" spans="1:7" ht="15" customHeight="1" x14ac:dyDescent="0.25">
      <c r="A107" s="6" t="s">
        <v>49</v>
      </c>
      <c r="B107" s="10">
        <v>2030</v>
      </c>
      <c r="C107" s="7">
        <v>71.9636</v>
      </c>
      <c r="D107" s="7">
        <v>67.407200000000003</v>
      </c>
      <c r="E107" s="7">
        <v>76.828000000000003</v>
      </c>
      <c r="F107" s="11">
        <f t="shared" si="1"/>
        <v>9.4207999999999998</v>
      </c>
      <c r="G107" s="12">
        <f>Ocupados_Proy!$D$107</f>
        <v>421824</v>
      </c>
    </row>
    <row r="108" spans="1:7" ht="15" customHeight="1" x14ac:dyDescent="0.25">
      <c r="A108" s="8" t="s">
        <v>50</v>
      </c>
      <c r="B108" s="13">
        <v>2030</v>
      </c>
      <c r="C108" s="9">
        <v>53.848700000000001</v>
      </c>
      <c r="D108" s="9">
        <v>49.7087</v>
      </c>
      <c r="E108" s="9">
        <v>58.333399999999997</v>
      </c>
      <c r="F108" s="14">
        <f t="shared" si="1"/>
        <v>8.6246999999999971</v>
      </c>
      <c r="G108" s="15">
        <f>Ocupados_Proy!$D$108</f>
        <v>671382</v>
      </c>
    </row>
    <row r="109" spans="1:7" ht="15" customHeight="1" x14ac:dyDescent="0.25">
      <c r="A109" s="6" t="s">
        <v>51</v>
      </c>
      <c r="B109" s="10">
        <v>2030</v>
      </c>
      <c r="C109" s="7">
        <v>59.026800000000001</v>
      </c>
      <c r="D109" s="7">
        <v>54.759300000000003</v>
      </c>
      <c r="E109" s="7">
        <v>63.626800000000003</v>
      </c>
      <c r="F109" s="11">
        <f t="shared" si="1"/>
        <v>8.8674999999999997</v>
      </c>
      <c r="G109" s="12">
        <f>Ocupados_Proy!$D$109</f>
        <v>422276</v>
      </c>
    </row>
    <row r="110" spans="1:7" ht="15" customHeight="1" x14ac:dyDescent="0.25">
      <c r="A110" s="8" t="s">
        <v>52</v>
      </c>
      <c r="B110" s="13">
        <v>2030</v>
      </c>
      <c r="C110" s="9">
        <v>58.945599999999999</v>
      </c>
      <c r="D110" s="9">
        <v>54.841999999999999</v>
      </c>
      <c r="E110" s="9">
        <v>63.356200000000001</v>
      </c>
      <c r="F110" s="14">
        <f t="shared" si="1"/>
        <v>8.5142000000000024</v>
      </c>
      <c r="G110" s="15">
        <f>Ocupados_Proy!$D$110</f>
        <v>142012</v>
      </c>
    </row>
    <row r="111" spans="1:7" ht="15" customHeight="1" x14ac:dyDescent="0.25">
      <c r="A111" s="6" t="s">
        <v>53</v>
      </c>
      <c r="B111" s="10">
        <v>2030</v>
      </c>
      <c r="C111" s="7">
        <v>73.243499999999997</v>
      </c>
      <c r="D111" s="7">
        <v>68.849000000000004</v>
      </c>
      <c r="E111" s="7">
        <v>77.918400000000005</v>
      </c>
      <c r="F111" s="11">
        <f t="shared" si="1"/>
        <v>9.0694000000000017</v>
      </c>
      <c r="G111" s="12">
        <f>Ocupados_Proy!$D$111</f>
        <v>136243</v>
      </c>
    </row>
    <row r="112" spans="1:7" ht="15" customHeight="1" x14ac:dyDescent="0.25">
      <c r="A112" s="8" t="s">
        <v>54</v>
      </c>
      <c r="B112" s="13">
        <v>2030</v>
      </c>
      <c r="C112" s="9">
        <v>66.817999999999998</v>
      </c>
      <c r="D112" s="9">
        <v>62.6</v>
      </c>
      <c r="E112" s="9">
        <v>71.3202</v>
      </c>
      <c r="F112" s="14">
        <f t="shared" si="1"/>
        <v>8.7201999999999984</v>
      </c>
      <c r="G112" s="15">
        <f>Ocupados_Proy!$D$112</f>
        <v>257060</v>
      </c>
    </row>
    <row r="113" spans="1:7" ht="15" customHeight="1" x14ac:dyDescent="0.25">
      <c r="A113" s="6" t="s">
        <v>55</v>
      </c>
      <c r="B113" s="10">
        <v>2030</v>
      </c>
      <c r="C113" s="7">
        <v>65.326899999999995</v>
      </c>
      <c r="D113" s="7">
        <v>61.023200000000003</v>
      </c>
      <c r="E113" s="7">
        <v>69.934100000000001</v>
      </c>
      <c r="F113" s="11">
        <f t="shared" si="1"/>
        <v>8.910899999999998</v>
      </c>
      <c r="G113" s="12">
        <f>Ocupados_Proy!$D$113</f>
        <v>464857</v>
      </c>
    </row>
    <row r="114" spans="1:7" ht="15" customHeight="1" x14ac:dyDescent="0.25">
      <c r="A114" s="8" t="s">
        <v>56</v>
      </c>
      <c r="B114" s="13">
        <v>2030</v>
      </c>
      <c r="C114" s="9">
        <v>76.258499999999998</v>
      </c>
      <c r="D114" s="9">
        <v>71.8626</v>
      </c>
      <c r="E114" s="9">
        <v>80.923500000000004</v>
      </c>
      <c r="F114" s="14">
        <f t="shared" si="1"/>
        <v>9.0609000000000037</v>
      </c>
      <c r="G114" s="15">
        <f>Ocupados_Proy!$D$114</f>
        <v>101216</v>
      </c>
    </row>
    <row r="115" spans="1:7" ht="15" customHeight="1" x14ac:dyDescent="0.25">
      <c r="A115" s="6" t="s">
        <v>57</v>
      </c>
      <c r="B115" s="10">
        <v>2030</v>
      </c>
      <c r="C115" s="7">
        <v>62.745899999999999</v>
      </c>
      <c r="D115" s="7">
        <v>58.519300000000001</v>
      </c>
      <c r="E115" s="7">
        <v>67.277699999999996</v>
      </c>
      <c r="F115" s="11">
        <f t="shared" si="1"/>
        <v>8.7583999999999946</v>
      </c>
      <c r="G115" s="12">
        <f>Ocupados_Proy!$D$115</f>
        <v>293068</v>
      </c>
    </row>
    <row r="116" spans="1:7" ht="15" customHeight="1" x14ac:dyDescent="0.25">
      <c r="A116" s="8" t="s">
        <v>58</v>
      </c>
      <c r="B116" s="13">
        <v>2030</v>
      </c>
      <c r="C116" s="9">
        <v>71.016800000000003</v>
      </c>
      <c r="D116" s="9">
        <v>66.679900000000004</v>
      </c>
      <c r="E116" s="9">
        <v>75.635800000000003</v>
      </c>
      <c r="F116" s="14">
        <f t="shared" si="1"/>
        <v>8.9558999999999997</v>
      </c>
      <c r="G116" s="15">
        <f>Ocupados_Proy!$D$116</f>
        <v>143113</v>
      </c>
    </row>
    <row r="117" spans="1:7" ht="15" customHeight="1" x14ac:dyDescent="0.25">
      <c r="A117" s="6" t="s">
        <v>59</v>
      </c>
      <c r="B117" s="10">
        <v>2030</v>
      </c>
      <c r="C117" s="7">
        <v>56.433199999999999</v>
      </c>
      <c r="D117" s="7">
        <v>52.227400000000003</v>
      </c>
      <c r="E117" s="7">
        <v>60.977600000000002</v>
      </c>
      <c r="F117" s="11">
        <f t="shared" si="1"/>
        <v>8.7501999999999995</v>
      </c>
      <c r="G117" s="12">
        <f>Ocupados_Proy!$D$117</f>
        <v>424024</v>
      </c>
    </row>
    <row r="118" spans="1:7" ht="15" customHeight="1" x14ac:dyDescent="0.25">
      <c r="A118" s="8" t="s">
        <v>60</v>
      </c>
      <c r="B118" s="13">
        <v>2030</v>
      </c>
      <c r="C118" s="9">
        <v>52.626800000000003</v>
      </c>
      <c r="D118" s="9">
        <v>48.397500000000001</v>
      </c>
      <c r="E118" s="9">
        <v>57.225700000000003</v>
      </c>
      <c r="F118" s="14">
        <f t="shared" si="1"/>
        <v>8.8282000000000025</v>
      </c>
      <c r="G118" s="15">
        <f>Ocupados_Proy!$D$118</f>
        <v>207082</v>
      </c>
    </row>
    <row r="119" spans="1:7" ht="15" customHeight="1" x14ac:dyDescent="0.25">
      <c r="A119" s="6" t="s">
        <v>61</v>
      </c>
      <c r="B119" s="10">
        <v>2030</v>
      </c>
      <c r="C119" s="7">
        <v>65.9923</v>
      </c>
      <c r="D119" s="7">
        <v>61.6633</v>
      </c>
      <c r="E119" s="7">
        <v>70.625200000000007</v>
      </c>
      <c r="F119" s="11">
        <f t="shared" si="1"/>
        <v>8.9619000000000071</v>
      </c>
      <c r="G119" s="12">
        <f>Ocupados_Proy!$D$119</f>
        <v>238146</v>
      </c>
    </row>
    <row r="120" spans="1:7" ht="15" customHeight="1" x14ac:dyDescent="0.25">
      <c r="A120" s="6" t="s">
        <v>39</v>
      </c>
      <c r="B120" s="10">
        <v>2031</v>
      </c>
      <c r="C120" s="7">
        <v>39.808100000000003</v>
      </c>
      <c r="D120" s="7">
        <v>35.392600000000002</v>
      </c>
      <c r="E120" s="7">
        <v>44.7744</v>
      </c>
      <c r="F120" s="11">
        <f t="shared" si="1"/>
        <v>9.3817999999999984</v>
      </c>
      <c r="G120" s="12">
        <f>Ocupados_Proy!$D$120</f>
        <v>5636724</v>
      </c>
    </row>
    <row r="121" spans="1:7" ht="15" customHeight="1" x14ac:dyDescent="0.25">
      <c r="A121" s="8" t="s">
        <v>40</v>
      </c>
      <c r="B121" s="13">
        <v>2031</v>
      </c>
      <c r="C121" s="9">
        <v>39.6631</v>
      </c>
      <c r="D121" s="9">
        <v>34.185299999999998</v>
      </c>
      <c r="E121" s="9">
        <v>46.018599999999999</v>
      </c>
      <c r="F121" s="14">
        <f t="shared" si="1"/>
        <v>11.833300000000001</v>
      </c>
      <c r="G121" s="15">
        <f>Ocupados_Proy!$D$121</f>
        <v>1736104</v>
      </c>
    </row>
    <row r="122" spans="1:7" ht="15" customHeight="1" x14ac:dyDescent="0.25">
      <c r="A122" s="6" t="s">
        <v>41</v>
      </c>
      <c r="B122" s="10">
        <v>2031</v>
      </c>
      <c r="C122" s="7">
        <v>46.938600000000001</v>
      </c>
      <c r="D122" s="7">
        <v>41.719900000000003</v>
      </c>
      <c r="E122" s="7">
        <v>52.810200000000002</v>
      </c>
      <c r="F122" s="11">
        <f t="shared" si="1"/>
        <v>11.090299999999999</v>
      </c>
      <c r="G122" s="12">
        <f>Ocupados_Proy!$D$122</f>
        <v>1530421</v>
      </c>
    </row>
    <row r="123" spans="1:7" ht="15" customHeight="1" x14ac:dyDescent="0.25">
      <c r="A123" s="8" t="s">
        <v>42</v>
      </c>
      <c r="B123" s="13">
        <v>2031</v>
      </c>
      <c r="C123" s="9">
        <v>53.555799999999998</v>
      </c>
      <c r="D123" s="9">
        <v>48.950099999999999</v>
      </c>
      <c r="E123" s="9">
        <v>58.594999999999999</v>
      </c>
      <c r="F123" s="14">
        <f t="shared" si="1"/>
        <v>9.6448999999999998</v>
      </c>
      <c r="G123" s="15">
        <f>Ocupados_Proy!$D$123</f>
        <v>847783</v>
      </c>
    </row>
    <row r="124" spans="1:7" ht="15" customHeight="1" x14ac:dyDescent="0.25">
      <c r="A124" s="6" t="s">
        <v>43</v>
      </c>
      <c r="B124" s="10">
        <v>2031</v>
      </c>
      <c r="C124" s="7">
        <v>59.028799999999997</v>
      </c>
      <c r="D124" s="7">
        <v>53.392600000000002</v>
      </c>
      <c r="E124" s="7">
        <v>65.259900000000002</v>
      </c>
      <c r="F124" s="11">
        <f t="shared" si="1"/>
        <v>11.8673</v>
      </c>
      <c r="G124" s="12">
        <f>Ocupados_Proy!$D$124</f>
        <v>422820</v>
      </c>
    </row>
    <row r="125" spans="1:7" ht="15" customHeight="1" x14ac:dyDescent="0.25">
      <c r="A125" s="8" t="s">
        <v>44</v>
      </c>
      <c r="B125" s="13">
        <v>2031</v>
      </c>
      <c r="C125" s="9">
        <v>46.779699999999998</v>
      </c>
      <c r="D125" s="9">
        <v>41.713000000000001</v>
      </c>
      <c r="E125" s="9">
        <v>52.4619</v>
      </c>
      <c r="F125" s="14">
        <f t="shared" si="1"/>
        <v>10.748899999999999</v>
      </c>
      <c r="G125" s="15">
        <f>Ocupados_Proy!$D$125</f>
        <v>335973</v>
      </c>
    </row>
    <row r="126" spans="1:7" ht="15" customHeight="1" x14ac:dyDescent="0.25">
      <c r="A126" s="6" t="s">
        <v>45</v>
      </c>
      <c r="B126" s="10">
        <v>2031</v>
      </c>
      <c r="C126" s="7">
        <v>66.424099999999996</v>
      </c>
      <c r="D126" s="7">
        <v>62.241399999999999</v>
      </c>
      <c r="E126" s="7">
        <v>70.887799999999999</v>
      </c>
      <c r="F126" s="11">
        <f t="shared" si="1"/>
        <v>8.6463999999999999</v>
      </c>
      <c r="G126" s="12">
        <f>Ocupados_Proy!$D$126</f>
        <v>291260</v>
      </c>
    </row>
    <row r="127" spans="1:7" ht="15" customHeight="1" x14ac:dyDescent="0.25">
      <c r="A127" s="8" t="s">
        <v>46</v>
      </c>
      <c r="B127" s="13">
        <v>2031</v>
      </c>
      <c r="C127" s="9">
        <v>54.791800000000002</v>
      </c>
      <c r="D127" s="9">
        <v>49.941800000000001</v>
      </c>
      <c r="E127" s="9">
        <v>60.1128</v>
      </c>
      <c r="F127" s="14">
        <f t="shared" si="1"/>
        <v>10.170999999999999</v>
      </c>
      <c r="G127" s="15">
        <f>Ocupados_Proy!$D$127</f>
        <v>328755</v>
      </c>
    </row>
    <row r="128" spans="1:7" ht="15" customHeight="1" x14ac:dyDescent="0.25">
      <c r="A128" s="6" t="s">
        <v>47</v>
      </c>
      <c r="B128" s="10">
        <v>2031</v>
      </c>
      <c r="C128" s="7">
        <v>67.1023</v>
      </c>
      <c r="D128" s="7">
        <v>61.6036</v>
      </c>
      <c r="E128" s="7">
        <v>73.091800000000006</v>
      </c>
      <c r="F128" s="11">
        <f t="shared" si="1"/>
        <v>11.488200000000006</v>
      </c>
      <c r="G128" s="12">
        <f>Ocupados_Proy!$D$128</f>
        <v>546673</v>
      </c>
    </row>
    <row r="129" spans="1:7" ht="15" customHeight="1" x14ac:dyDescent="0.25">
      <c r="A129" s="8" t="s">
        <v>48</v>
      </c>
      <c r="B129" s="13">
        <v>2031</v>
      </c>
      <c r="C129" s="9">
        <v>58.196100000000001</v>
      </c>
      <c r="D129" s="9">
        <v>53.754800000000003</v>
      </c>
      <c r="E129" s="9">
        <v>63.004199999999997</v>
      </c>
      <c r="F129" s="14">
        <f t="shared" si="1"/>
        <v>9.2493999999999943</v>
      </c>
      <c r="G129" s="15">
        <f>Ocupados_Proy!$D$129</f>
        <v>384027</v>
      </c>
    </row>
    <row r="130" spans="1:7" ht="15" customHeight="1" x14ac:dyDescent="0.25">
      <c r="A130" s="6" t="s">
        <v>49</v>
      </c>
      <c r="B130" s="10">
        <v>2031</v>
      </c>
      <c r="C130" s="7">
        <v>71.626499999999993</v>
      </c>
      <c r="D130" s="7">
        <v>66.740799999999993</v>
      </c>
      <c r="E130" s="7">
        <v>76.869900000000001</v>
      </c>
      <c r="F130" s="11">
        <f t="shared" si="1"/>
        <v>10.129100000000008</v>
      </c>
      <c r="G130" s="12">
        <f>Ocupados_Proy!$D$130</f>
        <v>429289</v>
      </c>
    </row>
    <row r="131" spans="1:7" ht="15" customHeight="1" x14ac:dyDescent="0.25">
      <c r="A131" s="8" t="s">
        <v>50</v>
      </c>
      <c r="B131" s="13">
        <v>2031</v>
      </c>
      <c r="C131" s="9">
        <v>53.540300000000002</v>
      </c>
      <c r="D131" s="9">
        <v>49.1083</v>
      </c>
      <c r="E131" s="9">
        <v>58.372300000000003</v>
      </c>
      <c r="F131" s="14">
        <f t="shared" si="1"/>
        <v>9.2640000000000029</v>
      </c>
      <c r="G131" s="15">
        <f>Ocupados_Proy!$D$131</f>
        <v>670698</v>
      </c>
    </row>
    <row r="132" spans="1:7" ht="15" customHeight="1" x14ac:dyDescent="0.25">
      <c r="A132" s="6" t="s">
        <v>51</v>
      </c>
      <c r="B132" s="10">
        <v>2031</v>
      </c>
      <c r="C132" s="7">
        <v>58.709600000000002</v>
      </c>
      <c r="D132" s="7">
        <v>54.138599999999997</v>
      </c>
      <c r="E132" s="7">
        <v>63.666600000000003</v>
      </c>
      <c r="F132" s="11">
        <f t="shared" si="1"/>
        <v>9.5280000000000058</v>
      </c>
      <c r="G132" s="12">
        <f>Ocupados_Proy!$D$132</f>
        <v>424915</v>
      </c>
    </row>
    <row r="133" spans="1:7" ht="15" customHeight="1" x14ac:dyDescent="0.25">
      <c r="A133" s="8" t="s">
        <v>52</v>
      </c>
      <c r="B133" s="13">
        <v>2031</v>
      </c>
      <c r="C133" s="9">
        <v>58.640999999999998</v>
      </c>
      <c r="D133" s="9">
        <v>54.244100000000003</v>
      </c>
      <c r="E133" s="9">
        <v>63.394300000000001</v>
      </c>
      <c r="F133" s="14">
        <f t="shared" ref="F133:F196" si="2">E133-D133</f>
        <v>9.1501999999999981</v>
      </c>
      <c r="G133" s="15">
        <f>Ocupados_Proy!$D$133</f>
        <v>143484</v>
      </c>
    </row>
    <row r="134" spans="1:7" ht="15" customHeight="1" x14ac:dyDescent="0.25">
      <c r="A134" s="6" t="s">
        <v>53</v>
      </c>
      <c r="B134" s="10">
        <v>2031</v>
      </c>
      <c r="C134" s="7">
        <v>72.918800000000005</v>
      </c>
      <c r="D134" s="7">
        <v>68.204899999999995</v>
      </c>
      <c r="E134" s="7">
        <v>77.958600000000004</v>
      </c>
      <c r="F134" s="11">
        <f t="shared" si="2"/>
        <v>9.7537000000000091</v>
      </c>
      <c r="G134" s="12">
        <f>Ocupados_Proy!$D$134</f>
        <v>137635</v>
      </c>
    </row>
    <row r="135" spans="1:7" ht="15" customHeight="1" x14ac:dyDescent="0.25">
      <c r="A135" s="8" t="s">
        <v>54</v>
      </c>
      <c r="B135" s="13">
        <v>2031</v>
      </c>
      <c r="C135" s="9">
        <v>66.506</v>
      </c>
      <c r="D135" s="9">
        <v>61.982999999999997</v>
      </c>
      <c r="E135" s="9">
        <v>71.358999999999995</v>
      </c>
      <c r="F135" s="14">
        <f t="shared" si="2"/>
        <v>9.3759999999999977</v>
      </c>
      <c r="G135" s="15">
        <f>Ocupados_Proy!$D$135</f>
        <v>258833</v>
      </c>
    </row>
    <row r="136" spans="1:7" ht="15" customHeight="1" x14ac:dyDescent="0.25">
      <c r="A136" s="6" t="s">
        <v>55</v>
      </c>
      <c r="B136" s="10">
        <v>2031</v>
      </c>
      <c r="C136" s="7">
        <v>65.008099999999999</v>
      </c>
      <c r="D136" s="7">
        <v>60.3947</v>
      </c>
      <c r="E136" s="7">
        <v>69.973799999999997</v>
      </c>
      <c r="F136" s="11">
        <f t="shared" si="2"/>
        <v>9.5790999999999968</v>
      </c>
      <c r="G136" s="12">
        <f>Ocupados_Proy!$D$136</f>
        <v>475541</v>
      </c>
    </row>
    <row r="137" spans="1:7" ht="15" customHeight="1" x14ac:dyDescent="0.25">
      <c r="A137" s="8" t="s">
        <v>56</v>
      </c>
      <c r="B137" s="13">
        <v>2031</v>
      </c>
      <c r="C137" s="9">
        <v>75.934200000000004</v>
      </c>
      <c r="D137" s="9">
        <v>71.217299999999994</v>
      </c>
      <c r="E137" s="9">
        <v>80.963499999999996</v>
      </c>
      <c r="F137" s="14">
        <f t="shared" si="2"/>
        <v>9.7462000000000018</v>
      </c>
      <c r="G137" s="15">
        <f>Ocupados_Proy!$D$137</f>
        <v>102469</v>
      </c>
    </row>
    <row r="138" spans="1:7" ht="15" customHeight="1" x14ac:dyDescent="0.25">
      <c r="A138" s="6" t="s">
        <v>57</v>
      </c>
      <c r="B138" s="10">
        <v>2031</v>
      </c>
      <c r="C138" s="7">
        <v>62.432499999999997</v>
      </c>
      <c r="D138" s="7">
        <v>57.902700000000003</v>
      </c>
      <c r="E138" s="7">
        <v>67.316800000000001</v>
      </c>
      <c r="F138" s="11">
        <f t="shared" si="2"/>
        <v>9.4140999999999977</v>
      </c>
      <c r="G138" s="12">
        <f>Ocupados_Proy!$D$138</f>
        <v>297035</v>
      </c>
    </row>
    <row r="139" spans="1:7" ht="15" customHeight="1" x14ac:dyDescent="0.25">
      <c r="A139" s="8" t="s">
        <v>58</v>
      </c>
      <c r="B139" s="13">
        <v>2031</v>
      </c>
      <c r="C139" s="9">
        <v>70.696299999999994</v>
      </c>
      <c r="D139" s="9">
        <v>66.044600000000003</v>
      </c>
      <c r="E139" s="9">
        <v>75.675600000000003</v>
      </c>
      <c r="F139" s="14">
        <f t="shared" si="2"/>
        <v>9.6310000000000002</v>
      </c>
      <c r="G139" s="15">
        <f>Ocupados_Proy!$D$139</f>
        <v>144165</v>
      </c>
    </row>
    <row r="140" spans="1:7" ht="15" customHeight="1" x14ac:dyDescent="0.25">
      <c r="A140" s="6" t="s">
        <v>59</v>
      </c>
      <c r="B140" s="10">
        <v>2031</v>
      </c>
      <c r="C140" s="7">
        <v>56.120199999999997</v>
      </c>
      <c r="D140" s="7">
        <v>51.616500000000002</v>
      </c>
      <c r="E140" s="7">
        <v>61.017000000000003</v>
      </c>
      <c r="F140" s="11">
        <f t="shared" si="2"/>
        <v>9.400500000000001</v>
      </c>
      <c r="G140" s="12">
        <f>Ocupados_Proy!$D$140</f>
        <v>428906</v>
      </c>
    </row>
    <row r="141" spans="1:7" ht="15" customHeight="1" x14ac:dyDescent="0.25">
      <c r="A141" s="8" t="s">
        <v>60</v>
      </c>
      <c r="B141" s="13">
        <v>2031</v>
      </c>
      <c r="C141" s="9">
        <v>52.311199999999999</v>
      </c>
      <c r="D141" s="9">
        <v>47.785499999999999</v>
      </c>
      <c r="E141" s="9">
        <v>57.265599999999999</v>
      </c>
      <c r="F141" s="14">
        <f t="shared" si="2"/>
        <v>9.4801000000000002</v>
      </c>
      <c r="G141" s="15">
        <f>Ocupados_Proy!$D$141</f>
        <v>206630</v>
      </c>
    </row>
    <row r="142" spans="1:7" ht="15" customHeight="1" x14ac:dyDescent="0.25">
      <c r="A142" s="6" t="s">
        <v>61</v>
      </c>
      <c r="B142" s="10">
        <v>2031</v>
      </c>
      <c r="C142" s="7">
        <v>65.671599999999998</v>
      </c>
      <c r="D142" s="7">
        <v>61.030999999999999</v>
      </c>
      <c r="E142" s="7">
        <v>70.665099999999995</v>
      </c>
      <c r="F142" s="11">
        <f t="shared" si="2"/>
        <v>9.6340999999999966</v>
      </c>
      <c r="G142" s="12">
        <f>Ocupados_Proy!$D$142</f>
        <v>241942</v>
      </c>
    </row>
    <row r="143" spans="1:7" ht="15" customHeight="1" x14ac:dyDescent="0.25">
      <c r="A143" s="6" t="s">
        <v>39</v>
      </c>
      <c r="B143" s="10">
        <v>2032</v>
      </c>
      <c r="C143" s="7">
        <v>39.498199999999997</v>
      </c>
      <c r="D143" s="7">
        <v>34.833199999999998</v>
      </c>
      <c r="E143" s="7">
        <v>44.787999999999997</v>
      </c>
      <c r="F143" s="11">
        <f t="shared" si="2"/>
        <v>9.9547999999999988</v>
      </c>
      <c r="G143" s="12">
        <f>Ocupados_Proy!$D$143</f>
        <v>5616454</v>
      </c>
    </row>
    <row r="144" spans="1:7" ht="15" customHeight="1" x14ac:dyDescent="0.25">
      <c r="A144" s="8" t="s">
        <v>40</v>
      </c>
      <c r="B144" s="13">
        <v>2032</v>
      </c>
      <c r="C144" s="9">
        <v>39.273200000000003</v>
      </c>
      <c r="D144" s="9">
        <v>33.503700000000002</v>
      </c>
      <c r="E144" s="9">
        <v>46.036200000000001</v>
      </c>
      <c r="F144" s="14">
        <f t="shared" si="2"/>
        <v>12.532499999999999</v>
      </c>
      <c r="G144" s="15">
        <f>Ocupados_Proy!$D$144</f>
        <v>1727267</v>
      </c>
    </row>
    <row r="145" spans="1:7" ht="15" customHeight="1" x14ac:dyDescent="0.25">
      <c r="A145" s="6" t="s">
        <v>41</v>
      </c>
      <c r="B145" s="10">
        <v>2032</v>
      </c>
      <c r="C145" s="7">
        <v>46.572400000000002</v>
      </c>
      <c r="D145" s="7">
        <v>41.058799999999998</v>
      </c>
      <c r="E145" s="7">
        <v>52.8262</v>
      </c>
      <c r="F145" s="11">
        <f t="shared" si="2"/>
        <v>11.767400000000002</v>
      </c>
      <c r="G145" s="12">
        <f>Ocupados_Proy!$D$145</f>
        <v>1520244</v>
      </c>
    </row>
    <row r="146" spans="1:7" ht="15" customHeight="1" x14ac:dyDescent="0.25">
      <c r="A146" s="8" t="s">
        <v>42</v>
      </c>
      <c r="B146" s="13">
        <v>2032</v>
      </c>
      <c r="C146" s="9">
        <v>53.236699999999999</v>
      </c>
      <c r="D146" s="9">
        <v>48.357199999999999</v>
      </c>
      <c r="E146" s="9">
        <v>58.608600000000003</v>
      </c>
      <c r="F146" s="14">
        <f t="shared" si="2"/>
        <v>10.251400000000004</v>
      </c>
      <c r="G146" s="15">
        <f>Ocupados_Proy!$D$146</f>
        <v>843900</v>
      </c>
    </row>
    <row r="147" spans="1:7" ht="15" customHeight="1" x14ac:dyDescent="0.25">
      <c r="A147" s="6" t="s">
        <v>43</v>
      </c>
      <c r="B147" s="10">
        <v>2032</v>
      </c>
      <c r="C147" s="7">
        <v>58.636400000000002</v>
      </c>
      <c r="D147" s="7">
        <v>52.671399999999998</v>
      </c>
      <c r="E147" s="7">
        <v>65.276799999999994</v>
      </c>
      <c r="F147" s="11">
        <f t="shared" si="2"/>
        <v>12.605399999999996</v>
      </c>
      <c r="G147" s="12">
        <f>Ocupados_Proy!$D$147</f>
        <v>422117</v>
      </c>
    </row>
    <row r="148" spans="1:7" ht="15" customHeight="1" x14ac:dyDescent="0.25">
      <c r="A148" s="8" t="s">
        <v>44</v>
      </c>
      <c r="B148" s="13">
        <v>2032</v>
      </c>
      <c r="C148" s="9">
        <v>46.424700000000001</v>
      </c>
      <c r="D148" s="9">
        <v>41.07</v>
      </c>
      <c r="E148" s="9">
        <v>52.477499999999999</v>
      </c>
      <c r="F148" s="14">
        <f t="shared" si="2"/>
        <v>11.407499999999999</v>
      </c>
      <c r="G148" s="15">
        <f>Ocupados_Proy!$D$148</f>
        <v>337164</v>
      </c>
    </row>
    <row r="149" spans="1:7" ht="15" customHeight="1" x14ac:dyDescent="0.25">
      <c r="A149" s="6" t="s">
        <v>45</v>
      </c>
      <c r="B149" s="10">
        <v>2032</v>
      </c>
      <c r="C149" s="7">
        <v>66.137600000000006</v>
      </c>
      <c r="D149" s="7">
        <v>61.6952</v>
      </c>
      <c r="E149" s="7">
        <v>70.899699999999996</v>
      </c>
      <c r="F149" s="11">
        <f t="shared" si="2"/>
        <v>9.2044999999999959</v>
      </c>
      <c r="G149" s="12">
        <f>Ocupados_Proy!$D$149</f>
        <v>291217</v>
      </c>
    </row>
    <row r="150" spans="1:7" ht="15" customHeight="1" x14ac:dyDescent="0.25">
      <c r="A150" s="8" t="s">
        <v>46</v>
      </c>
      <c r="B150" s="13">
        <v>2032</v>
      </c>
      <c r="C150" s="9">
        <v>54.455300000000001</v>
      </c>
      <c r="D150" s="9">
        <v>49.3185</v>
      </c>
      <c r="E150" s="9">
        <v>60.127099999999999</v>
      </c>
      <c r="F150" s="14">
        <f t="shared" si="2"/>
        <v>10.808599999999998</v>
      </c>
      <c r="G150" s="15">
        <f>Ocupados_Proy!$D$150</f>
        <v>327820</v>
      </c>
    </row>
    <row r="151" spans="1:7" ht="15" customHeight="1" x14ac:dyDescent="0.25">
      <c r="A151" s="6" t="s">
        <v>47</v>
      </c>
      <c r="B151" s="10">
        <v>2032</v>
      </c>
      <c r="C151" s="7">
        <v>66.721999999999994</v>
      </c>
      <c r="D151" s="7">
        <v>60.893900000000002</v>
      </c>
      <c r="E151" s="7">
        <v>73.107900000000001</v>
      </c>
      <c r="F151" s="11">
        <f t="shared" si="2"/>
        <v>12.213999999999999</v>
      </c>
      <c r="G151" s="12">
        <f>Ocupados_Proy!$D$151</f>
        <v>545795</v>
      </c>
    </row>
    <row r="152" spans="1:7" ht="15" customHeight="1" x14ac:dyDescent="0.25">
      <c r="A152" s="8" t="s">
        <v>48</v>
      </c>
      <c r="B152" s="13">
        <v>2032</v>
      </c>
      <c r="C152" s="9">
        <v>57.889800000000001</v>
      </c>
      <c r="D152" s="9">
        <v>53.179699999999997</v>
      </c>
      <c r="E152" s="9">
        <v>63.017099999999999</v>
      </c>
      <c r="F152" s="14">
        <f t="shared" si="2"/>
        <v>9.8374000000000024</v>
      </c>
      <c r="G152" s="15">
        <f>Ocupados_Proy!$D$152</f>
        <v>384930</v>
      </c>
    </row>
    <row r="153" spans="1:7" ht="15" customHeight="1" x14ac:dyDescent="0.25">
      <c r="A153" s="6" t="s">
        <v>49</v>
      </c>
      <c r="B153" s="10">
        <v>2032</v>
      </c>
      <c r="C153" s="7">
        <v>71.290899999999993</v>
      </c>
      <c r="D153" s="7">
        <v>66.104900000000001</v>
      </c>
      <c r="E153" s="7">
        <v>76.883899999999997</v>
      </c>
      <c r="F153" s="11">
        <f t="shared" si="2"/>
        <v>10.778999999999996</v>
      </c>
      <c r="G153" s="12">
        <f>Ocupados_Proy!$D$153</f>
        <v>436671</v>
      </c>
    </row>
    <row r="154" spans="1:7" ht="15" customHeight="1" x14ac:dyDescent="0.25">
      <c r="A154" s="8" t="s">
        <v>50</v>
      </c>
      <c r="B154" s="13">
        <v>2032</v>
      </c>
      <c r="C154" s="9">
        <v>53.233699999999999</v>
      </c>
      <c r="D154" s="9">
        <v>48.5366</v>
      </c>
      <c r="E154" s="9">
        <v>58.385300000000001</v>
      </c>
      <c r="F154" s="14">
        <f t="shared" si="2"/>
        <v>9.8487000000000009</v>
      </c>
      <c r="G154" s="15">
        <f>Ocupados_Proy!$D$154</f>
        <v>670081</v>
      </c>
    </row>
    <row r="155" spans="1:7" ht="15" customHeight="1" x14ac:dyDescent="0.25">
      <c r="A155" s="6" t="s">
        <v>51</v>
      </c>
      <c r="B155" s="10">
        <v>2032</v>
      </c>
      <c r="C155" s="7">
        <v>58.394199999999998</v>
      </c>
      <c r="D155" s="7">
        <v>53.547199999999997</v>
      </c>
      <c r="E155" s="7">
        <v>63.679900000000004</v>
      </c>
      <c r="F155" s="11">
        <f t="shared" si="2"/>
        <v>10.132700000000007</v>
      </c>
      <c r="G155" s="12">
        <f>Ocupados_Proy!$D$155</f>
        <v>427425</v>
      </c>
    </row>
    <row r="156" spans="1:7" ht="15" customHeight="1" x14ac:dyDescent="0.25">
      <c r="A156" s="8" t="s">
        <v>52</v>
      </c>
      <c r="B156" s="13">
        <v>2032</v>
      </c>
      <c r="C156" s="9">
        <v>58.338000000000001</v>
      </c>
      <c r="D156" s="9">
        <v>53.674199999999999</v>
      </c>
      <c r="E156" s="9">
        <v>63.4071</v>
      </c>
      <c r="F156" s="14">
        <f t="shared" si="2"/>
        <v>9.7329000000000008</v>
      </c>
      <c r="G156" s="15">
        <f>Ocupados_Proy!$D$156</f>
        <v>144979</v>
      </c>
    </row>
    <row r="157" spans="1:7" ht="15" customHeight="1" x14ac:dyDescent="0.25">
      <c r="A157" s="6" t="s">
        <v>53</v>
      </c>
      <c r="B157" s="10">
        <v>2032</v>
      </c>
      <c r="C157" s="7">
        <v>72.595699999999994</v>
      </c>
      <c r="D157" s="7">
        <v>67.59</v>
      </c>
      <c r="E157" s="7">
        <v>77.971999999999994</v>
      </c>
      <c r="F157" s="11">
        <f t="shared" si="2"/>
        <v>10.381999999999991</v>
      </c>
      <c r="G157" s="12">
        <f>Ocupados_Proy!$D$157</f>
        <v>138938</v>
      </c>
    </row>
    <row r="158" spans="1:7" ht="15" customHeight="1" x14ac:dyDescent="0.25">
      <c r="A158" s="8" t="s">
        <v>54</v>
      </c>
      <c r="B158" s="13">
        <v>2032</v>
      </c>
      <c r="C158" s="9">
        <v>66.195400000000006</v>
      </c>
      <c r="D158" s="9">
        <v>61.394199999999998</v>
      </c>
      <c r="E158" s="9">
        <v>71.372</v>
      </c>
      <c r="F158" s="14">
        <f t="shared" si="2"/>
        <v>9.977800000000002</v>
      </c>
      <c r="G158" s="15">
        <f>Ocupados_Proy!$D$158</f>
        <v>260517</v>
      </c>
    </row>
    <row r="159" spans="1:7" ht="15" customHeight="1" x14ac:dyDescent="0.25">
      <c r="A159" s="6" t="s">
        <v>55</v>
      </c>
      <c r="B159" s="10">
        <v>2032</v>
      </c>
      <c r="C159" s="7">
        <v>64.690799999999996</v>
      </c>
      <c r="D159" s="7">
        <v>59.795299999999997</v>
      </c>
      <c r="E159" s="7">
        <v>69.987099999999998</v>
      </c>
      <c r="F159" s="11">
        <f t="shared" si="2"/>
        <v>10.191800000000001</v>
      </c>
      <c r="G159" s="12">
        <f>Ocupados_Proy!$D$159</f>
        <v>486208</v>
      </c>
    </row>
    <row r="160" spans="1:7" ht="15" customHeight="1" x14ac:dyDescent="0.25">
      <c r="A160" s="8" t="s">
        <v>56</v>
      </c>
      <c r="B160" s="13">
        <v>2032</v>
      </c>
      <c r="C160" s="9">
        <v>75.611199999999997</v>
      </c>
      <c r="D160" s="9">
        <v>70.601100000000002</v>
      </c>
      <c r="E160" s="9">
        <v>80.976900000000001</v>
      </c>
      <c r="F160" s="14">
        <f t="shared" si="2"/>
        <v>10.375799999999998</v>
      </c>
      <c r="G160" s="15">
        <f>Ocupados_Proy!$D$160</f>
        <v>103648</v>
      </c>
    </row>
    <row r="161" spans="1:7" ht="15" customHeight="1" x14ac:dyDescent="0.25">
      <c r="A161" s="6" t="s">
        <v>57</v>
      </c>
      <c r="B161" s="10">
        <v>2032</v>
      </c>
      <c r="C161" s="7">
        <v>62.120800000000003</v>
      </c>
      <c r="D161" s="7">
        <v>57.314700000000002</v>
      </c>
      <c r="E161" s="7">
        <v>67.329899999999995</v>
      </c>
      <c r="F161" s="11">
        <f t="shared" si="2"/>
        <v>10.015199999999993</v>
      </c>
      <c r="G161" s="12">
        <f>Ocupados_Proy!$D$161</f>
        <v>300899</v>
      </c>
    </row>
    <row r="162" spans="1:7" ht="15" customHeight="1" x14ac:dyDescent="0.25">
      <c r="A162" s="8" t="s">
        <v>58</v>
      </c>
      <c r="B162" s="13">
        <v>2032</v>
      </c>
      <c r="C162" s="9">
        <v>70.377200000000002</v>
      </c>
      <c r="D162" s="9">
        <v>65.438299999999998</v>
      </c>
      <c r="E162" s="9">
        <v>75.688900000000004</v>
      </c>
      <c r="F162" s="14">
        <f t="shared" si="2"/>
        <v>10.250600000000006</v>
      </c>
      <c r="G162" s="15">
        <f>Ocupados_Proy!$D$162</f>
        <v>145182</v>
      </c>
    </row>
    <row r="163" spans="1:7" ht="15" customHeight="1" x14ac:dyDescent="0.25">
      <c r="A163" s="6" t="s">
        <v>59</v>
      </c>
      <c r="B163" s="10">
        <v>2032</v>
      </c>
      <c r="C163" s="7">
        <v>55.809100000000001</v>
      </c>
      <c r="D163" s="7">
        <v>51.034700000000001</v>
      </c>
      <c r="E163" s="7">
        <v>61.030200000000001</v>
      </c>
      <c r="F163" s="11">
        <f t="shared" si="2"/>
        <v>9.9954999999999998</v>
      </c>
      <c r="G163" s="12">
        <f>Ocupados_Proy!$D$163</f>
        <v>433610</v>
      </c>
    </row>
    <row r="164" spans="1:7" ht="15" customHeight="1" x14ac:dyDescent="0.25">
      <c r="A164" s="8" t="s">
        <v>60</v>
      </c>
      <c r="B164" s="13">
        <v>2032</v>
      </c>
      <c r="C164" s="9">
        <v>51.997599999999998</v>
      </c>
      <c r="D164" s="9">
        <v>47.203099999999999</v>
      </c>
      <c r="E164" s="9">
        <v>57.279000000000003</v>
      </c>
      <c r="F164" s="14">
        <f t="shared" si="2"/>
        <v>10.075900000000004</v>
      </c>
      <c r="G164" s="15">
        <f>Ocupados_Proy!$D$164</f>
        <v>206105</v>
      </c>
    </row>
    <row r="165" spans="1:7" ht="15" customHeight="1" x14ac:dyDescent="0.25">
      <c r="A165" s="6" t="s">
        <v>61</v>
      </c>
      <c r="B165" s="10">
        <v>2032</v>
      </c>
      <c r="C165" s="7">
        <v>65.352500000000006</v>
      </c>
      <c r="D165" s="7">
        <v>60.427900000000001</v>
      </c>
      <c r="E165" s="7">
        <v>70.6785</v>
      </c>
      <c r="F165" s="11">
        <f t="shared" si="2"/>
        <v>10.250599999999999</v>
      </c>
      <c r="G165" s="12">
        <f>Ocupados_Proy!$D$165</f>
        <v>245635</v>
      </c>
    </row>
    <row r="166" spans="1:7" ht="15" customHeight="1" x14ac:dyDescent="0.25">
      <c r="A166" s="6" t="s">
        <v>39</v>
      </c>
      <c r="B166" s="10">
        <v>2033</v>
      </c>
      <c r="C166" s="7">
        <v>39.190800000000003</v>
      </c>
      <c r="D166" s="7">
        <v>34.299599999999998</v>
      </c>
      <c r="E166" s="7">
        <v>44.779499999999999</v>
      </c>
      <c r="F166" s="11">
        <f t="shared" si="2"/>
        <v>10.479900000000001</v>
      </c>
      <c r="G166" s="12">
        <f>Ocupados_Proy!$D$166</f>
        <v>5594085</v>
      </c>
    </row>
    <row r="167" spans="1:7" ht="15" customHeight="1" x14ac:dyDescent="0.25">
      <c r="A167" s="8" t="s">
        <v>40</v>
      </c>
      <c r="B167" s="13">
        <v>2033</v>
      </c>
      <c r="C167" s="9">
        <v>38.887099999999997</v>
      </c>
      <c r="D167" s="9">
        <v>32.856099999999998</v>
      </c>
      <c r="E167" s="9">
        <v>46.025199999999998</v>
      </c>
      <c r="F167" s="14">
        <f t="shared" si="2"/>
        <v>13.1691</v>
      </c>
      <c r="G167" s="15">
        <f>Ocupados_Proy!$D$167</f>
        <v>1718234</v>
      </c>
    </row>
    <row r="168" spans="1:7" ht="15" customHeight="1" x14ac:dyDescent="0.25">
      <c r="A168" s="6" t="s">
        <v>41</v>
      </c>
      <c r="B168" s="10">
        <v>2033</v>
      </c>
      <c r="C168" s="7">
        <v>46.209000000000003</v>
      </c>
      <c r="D168" s="7">
        <v>40.4283</v>
      </c>
      <c r="E168" s="7">
        <v>52.816200000000002</v>
      </c>
      <c r="F168" s="11">
        <f t="shared" si="2"/>
        <v>12.387900000000002</v>
      </c>
      <c r="G168" s="12">
        <f>Ocupados_Proy!$D$168</f>
        <v>1509926</v>
      </c>
    </row>
    <row r="169" spans="1:7" ht="15" customHeight="1" x14ac:dyDescent="0.25">
      <c r="A169" s="8" t="s">
        <v>42</v>
      </c>
      <c r="B169" s="13">
        <v>2033</v>
      </c>
      <c r="C169" s="9">
        <v>52.919499999999999</v>
      </c>
      <c r="D169" s="9">
        <v>47.789499999999997</v>
      </c>
      <c r="E169" s="9">
        <v>58.6</v>
      </c>
      <c r="F169" s="14">
        <f t="shared" si="2"/>
        <v>10.810500000000005</v>
      </c>
      <c r="G169" s="15">
        <f>Ocupados_Proy!$D$169</f>
        <v>839924</v>
      </c>
    </row>
    <row r="170" spans="1:7" ht="15" customHeight="1" x14ac:dyDescent="0.25">
      <c r="A170" s="6" t="s">
        <v>43</v>
      </c>
      <c r="B170" s="10">
        <v>2033</v>
      </c>
      <c r="C170" s="7">
        <v>58.246600000000001</v>
      </c>
      <c r="D170" s="7">
        <v>51.981900000000003</v>
      </c>
      <c r="E170" s="7">
        <v>65.266199999999998</v>
      </c>
      <c r="F170" s="11">
        <f t="shared" si="2"/>
        <v>13.284299999999995</v>
      </c>
      <c r="G170" s="12">
        <f>Ocupados_Proy!$D$170</f>
        <v>421335</v>
      </c>
    </row>
    <row r="171" spans="1:7" ht="15" customHeight="1" x14ac:dyDescent="0.25">
      <c r="A171" s="8" t="s">
        <v>44</v>
      </c>
      <c r="B171" s="13">
        <v>2033</v>
      </c>
      <c r="C171" s="9">
        <v>46.072299999999998</v>
      </c>
      <c r="D171" s="9">
        <v>40.456400000000002</v>
      </c>
      <c r="E171" s="9">
        <v>52.467700000000001</v>
      </c>
      <c r="F171" s="14">
        <f t="shared" si="2"/>
        <v>12.011299999999999</v>
      </c>
      <c r="G171" s="15">
        <f>Ocupados_Proy!$D$171</f>
        <v>338284</v>
      </c>
    </row>
    <row r="172" spans="1:7" ht="15" customHeight="1" x14ac:dyDescent="0.25">
      <c r="A172" s="6" t="s">
        <v>45</v>
      </c>
      <c r="B172" s="10">
        <v>2033</v>
      </c>
      <c r="C172" s="7">
        <v>65.8523</v>
      </c>
      <c r="D172" s="7">
        <v>61.1706</v>
      </c>
      <c r="E172" s="7">
        <v>70.892300000000006</v>
      </c>
      <c r="F172" s="11">
        <f t="shared" si="2"/>
        <v>9.7217000000000056</v>
      </c>
      <c r="G172" s="12">
        <f>Ocupados_Proy!$D$172</f>
        <v>290996</v>
      </c>
    </row>
    <row r="173" spans="1:7" ht="15" customHeight="1" x14ac:dyDescent="0.25">
      <c r="A173" s="8" t="s">
        <v>46</v>
      </c>
      <c r="B173" s="13">
        <v>2033</v>
      </c>
      <c r="C173" s="9">
        <v>54.120899999999999</v>
      </c>
      <c r="D173" s="9">
        <v>48.721899999999998</v>
      </c>
      <c r="E173" s="9">
        <v>60.118099999999998</v>
      </c>
      <c r="F173" s="14">
        <f t="shared" si="2"/>
        <v>11.3962</v>
      </c>
      <c r="G173" s="15">
        <f>Ocupados_Proy!$D$173</f>
        <v>326767</v>
      </c>
    </row>
    <row r="174" spans="1:7" ht="15" customHeight="1" x14ac:dyDescent="0.25">
      <c r="A174" s="6" t="s">
        <v>47</v>
      </c>
      <c r="B174" s="10">
        <v>2033</v>
      </c>
      <c r="C174" s="7">
        <v>66.343999999999994</v>
      </c>
      <c r="D174" s="7">
        <v>60.214100000000002</v>
      </c>
      <c r="E174" s="7">
        <v>73.097800000000007</v>
      </c>
      <c r="F174" s="11">
        <f t="shared" si="2"/>
        <v>12.883700000000005</v>
      </c>
      <c r="G174" s="12">
        <f>Ocupados_Proy!$D$174</f>
        <v>544830</v>
      </c>
    </row>
    <row r="175" spans="1:7" ht="15" customHeight="1" x14ac:dyDescent="0.25">
      <c r="A175" s="8" t="s">
        <v>48</v>
      </c>
      <c r="B175" s="13">
        <v>2033</v>
      </c>
      <c r="C175" s="9">
        <v>57.5852</v>
      </c>
      <c r="D175" s="9">
        <v>52.6282</v>
      </c>
      <c r="E175" s="9">
        <v>63.009099999999997</v>
      </c>
      <c r="F175" s="14">
        <f t="shared" si="2"/>
        <v>10.380899999999997</v>
      </c>
      <c r="G175" s="15">
        <f>Ocupados_Proy!$D$175</f>
        <v>385758</v>
      </c>
    </row>
    <row r="176" spans="1:7" ht="15" customHeight="1" x14ac:dyDescent="0.25">
      <c r="A176" s="6" t="s">
        <v>49</v>
      </c>
      <c r="B176" s="10">
        <v>2033</v>
      </c>
      <c r="C176" s="7">
        <v>70.956999999999994</v>
      </c>
      <c r="D176" s="7">
        <v>65.494500000000002</v>
      </c>
      <c r="E176" s="7">
        <v>76.875100000000003</v>
      </c>
      <c r="F176" s="11">
        <f t="shared" si="2"/>
        <v>11.380600000000001</v>
      </c>
      <c r="G176" s="12">
        <f>Ocupados_Proy!$D$176</f>
        <v>443952</v>
      </c>
    </row>
    <row r="177" spans="1:7" ht="15" customHeight="1" x14ac:dyDescent="0.25">
      <c r="A177" s="8" t="s">
        <v>50</v>
      </c>
      <c r="B177" s="13">
        <v>2033</v>
      </c>
      <c r="C177" s="9">
        <v>52.928800000000003</v>
      </c>
      <c r="D177" s="9">
        <v>47.988999999999997</v>
      </c>
      <c r="E177" s="9">
        <v>58.377200000000002</v>
      </c>
      <c r="F177" s="14">
        <f t="shared" si="2"/>
        <v>10.388200000000005</v>
      </c>
      <c r="G177" s="15">
        <f>Ocupados_Proy!$D$177</f>
        <v>669527</v>
      </c>
    </row>
    <row r="178" spans="1:7" ht="15" customHeight="1" x14ac:dyDescent="0.25">
      <c r="A178" s="6" t="s">
        <v>51</v>
      </c>
      <c r="B178" s="10">
        <v>2033</v>
      </c>
      <c r="C178" s="7">
        <v>58.080399999999997</v>
      </c>
      <c r="D178" s="7">
        <v>52.980200000000004</v>
      </c>
      <c r="E178" s="7">
        <v>63.671599999999998</v>
      </c>
      <c r="F178" s="11">
        <f t="shared" si="2"/>
        <v>10.691399999999994</v>
      </c>
      <c r="G178" s="12">
        <f>Ocupados_Proy!$D$178</f>
        <v>429805</v>
      </c>
    </row>
    <row r="179" spans="1:7" ht="15" customHeight="1" x14ac:dyDescent="0.25">
      <c r="A179" s="8" t="s">
        <v>52</v>
      </c>
      <c r="B179" s="13">
        <v>2033</v>
      </c>
      <c r="C179" s="9">
        <v>58.0366</v>
      </c>
      <c r="D179" s="9">
        <v>53.127699999999997</v>
      </c>
      <c r="E179" s="9">
        <v>63.399099999999997</v>
      </c>
      <c r="F179" s="14">
        <f t="shared" si="2"/>
        <v>10.2714</v>
      </c>
      <c r="G179" s="15">
        <f>Ocupados_Proy!$D$179</f>
        <v>146490</v>
      </c>
    </row>
    <row r="180" spans="1:7" ht="15" customHeight="1" x14ac:dyDescent="0.25">
      <c r="A180" s="6" t="s">
        <v>53</v>
      </c>
      <c r="B180" s="10">
        <v>2033</v>
      </c>
      <c r="C180" s="7">
        <v>72.273899999999998</v>
      </c>
      <c r="D180" s="7">
        <v>66.999499999999998</v>
      </c>
      <c r="E180" s="7">
        <v>77.9636</v>
      </c>
      <c r="F180" s="11">
        <f t="shared" si="2"/>
        <v>10.964100000000002</v>
      </c>
      <c r="G180" s="12">
        <f>Ocupados_Proy!$D$180</f>
        <v>140148</v>
      </c>
    </row>
    <row r="181" spans="1:7" ht="15" customHeight="1" x14ac:dyDescent="0.25">
      <c r="A181" s="8" t="s">
        <v>54</v>
      </c>
      <c r="B181" s="13">
        <v>2033</v>
      </c>
      <c r="C181" s="9">
        <v>65.886200000000002</v>
      </c>
      <c r="D181" s="9">
        <v>60.829000000000001</v>
      </c>
      <c r="E181" s="9">
        <v>71.363799999999998</v>
      </c>
      <c r="F181" s="14">
        <f t="shared" si="2"/>
        <v>10.534799999999997</v>
      </c>
      <c r="G181" s="15">
        <f>Ocupados_Proy!$D$181</f>
        <v>262104</v>
      </c>
    </row>
    <row r="182" spans="1:7" ht="15" customHeight="1" x14ac:dyDescent="0.25">
      <c r="A182" s="6" t="s">
        <v>55</v>
      </c>
      <c r="B182" s="10">
        <v>2033</v>
      </c>
      <c r="C182" s="7">
        <v>64.375100000000003</v>
      </c>
      <c r="D182" s="7">
        <v>59.220100000000002</v>
      </c>
      <c r="E182" s="7">
        <v>69.978800000000007</v>
      </c>
      <c r="F182" s="11">
        <f t="shared" si="2"/>
        <v>10.758700000000005</v>
      </c>
      <c r="G182" s="12">
        <f>Ocupados_Proy!$D$182</f>
        <v>496834</v>
      </c>
    </row>
    <row r="183" spans="1:7" ht="15" customHeight="1" x14ac:dyDescent="0.25">
      <c r="A183" s="8" t="s">
        <v>56</v>
      </c>
      <c r="B183" s="13">
        <v>2033</v>
      </c>
      <c r="C183" s="9">
        <v>75.289599999999993</v>
      </c>
      <c r="D183" s="9">
        <v>70.009</v>
      </c>
      <c r="E183" s="9">
        <v>80.968500000000006</v>
      </c>
      <c r="F183" s="14">
        <f t="shared" si="2"/>
        <v>10.959500000000006</v>
      </c>
      <c r="G183" s="15">
        <f>Ocupados_Proy!$D$183</f>
        <v>104757</v>
      </c>
    </row>
    <row r="184" spans="1:7" ht="15" customHeight="1" x14ac:dyDescent="0.25">
      <c r="A184" s="6" t="s">
        <v>57</v>
      </c>
      <c r="B184" s="10">
        <v>2033</v>
      </c>
      <c r="C184" s="7">
        <v>61.810600000000001</v>
      </c>
      <c r="D184" s="7">
        <v>56.750599999999999</v>
      </c>
      <c r="E184" s="7">
        <v>67.321700000000007</v>
      </c>
      <c r="F184" s="11">
        <f t="shared" si="2"/>
        <v>10.571100000000008</v>
      </c>
      <c r="G184" s="12">
        <f>Ocupados_Proy!$D$184</f>
        <v>304652</v>
      </c>
    </row>
    <row r="185" spans="1:7" ht="15" customHeight="1" x14ac:dyDescent="0.25">
      <c r="A185" s="8" t="s">
        <v>58</v>
      </c>
      <c r="B185" s="13">
        <v>2033</v>
      </c>
      <c r="C185" s="9">
        <v>70.0595</v>
      </c>
      <c r="D185" s="9">
        <v>64.855999999999995</v>
      </c>
      <c r="E185" s="9">
        <v>75.680499999999995</v>
      </c>
      <c r="F185" s="14">
        <f t="shared" si="2"/>
        <v>10.8245</v>
      </c>
      <c r="G185" s="15">
        <f>Ocupados_Proy!$D$185</f>
        <v>146112</v>
      </c>
    </row>
    <row r="186" spans="1:7" ht="15" customHeight="1" x14ac:dyDescent="0.25">
      <c r="A186" s="6" t="s">
        <v>59</v>
      </c>
      <c r="B186" s="10">
        <v>2033</v>
      </c>
      <c r="C186" s="7">
        <v>55.499600000000001</v>
      </c>
      <c r="D186" s="7">
        <v>50.4771</v>
      </c>
      <c r="E186" s="7">
        <v>61.021900000000002</v>
      </c>
      <c r="F186" s="11">
        <f t="shared" si="2"/>
        <v>10.544800000000002</v>
      </c>
      <c r="G186" s="12">
        <f>Ocupados_Proy!$D$186</f>
        <v>438124</v>
      </c>
    </row>
    <row r="187" spans="1:7" ht="15" customHeight="1" x14ac:dyDescent="0.25">
      <c r="A187" s="8" t="s">
        <v>60</v>
      </c>
      <c r="B187" s="13">
        <v>2033</v>
      </c>
      <c r="C187" s="9">
        <v>51.6858</v>
      </c>
      <c r="D187" s="9">
        <v>46.645499999999998</v>
      </c>
      <c r="E187" s="9">
        <v>57.270600000000002</v>
      </c>
      <c r="F187" s="14">
        <f t="shared" si="2"/>
        <v>10.625100000000003</v>
      </c>
      <c r="G187" s="15">
        <f>Ocupados_Proy!$D$187</f>
        <v>205541</v>
      </c>
    </row>
    <row r="188" spans="1:7" ht="15" customHeight="1" x14ac:dyDescent="0.25">
      <c r="A188" s="6" t="s">
        <v>61</v>
      </c>
      <c r="B188" s="10">
        <v>2033</v>
      </c>
      <c r="C188" s="7">
        <v>65.034999999999997</v>
      </c>
      <c r="D188" s="7">
        <v>59.849200000000003</v>
      </c>
      <c r="E188" s="7">
        <v>70.670100000000005</v>
      </c>
      <c r="F188" s="11">
        <f t="shared" si="2"/>
        <v>10.820900000000002</v>
      </c>
      <c r="G188" s="12">
        <f>Ocupados_Proy!$D$188</f>
        <v>249194</v>
      </c>
    </row>
    <row r="189" spans="1:7" ht="15" customHeight="1" x14ac:dyDescent="0.25">
      <c r="A189" s="6" t="s">
        <v>39</v>
      </c>
      <c r="B189" s="10">
        <v>2034</v>
      </c>
      <c r="C189" s="7">
        <v>38.8857</v>
      </c>
      <c r="D189" s="7">
        <v>33.7881</v>
      </c>
      <c r="E189" s="7">
        <v>44.752499999999998</v>
      </c>
      <c r="F189" s="11">
        <f t="shared" si="2"/>
        <v>10.964399999999998</v>
      </c>
      <c r="G189" s="12">
        <f>Ocupados_Proy!$D$189</f>
        <v>5568391</v>
      </c>
    </row>
    <row r="190" spans="1:7" ht="15" customHeight="1" x14ac:dyDescent="0.25">
      <c r="A190" s="8" t="s">
        <v>40</v>
      </c>
      <c r="B190" s="13">
        <v>2034</v>
      </c>
      <c r="C190" s="9">
        <v>38.504899999999999</v>
      </c>
      <c r="D190" s="9">
        <v>32.237900000000003</v>
      </c>
      <c r="E190" s="9">
        <v>45.990099999999998</v>
      </c>
      <c r="F190" s="14">
        <f t="shared" si="2"/>
        <v>13.752199999999995</v>
      </c>
      <c r="G190" s="15">
        <f>Ocupados_Proy!$D$190</f>
        <v>1708922</v>
      </c>
    </row>
    <row r="191" spans="1:7" ht="15" customHeight="1" x14ac:dyDescent="0.25">
      <c r="A191" s="6" t="s">
        <v>41</v>
      </c>
      <c r="B191" s="10">
        <v>2034</v>
      </c>
      <c r="C191" s="7">
        <v>45.848399999999998</v>
      </c>
      <c r="D191" s="7">
        <v>39.823900000000002</v>
      </c>
      <c r="E191" s="7">
        <v>52.784300000000002</v>
      </c>
      <c r="F191" s="11">
        <f t="shared" si="2"/>
        <v>12.9604</v>
      </c>
      <c r="G191" s="12">
        <f>Ocupados_Proy!$D$191</f>
        <v>1499513</v>
      </c>
    </row>
    <row r="192" spans="1:7" ht="15" customHeight="1" x14ac:dyDescent="0.25">
      <c r="A192" s="8" t="s">
        <v>42</v>
      </c>
      <c r="B192" s="13">
        <v>2034</v>
      </c>
      <c r="C192" s="9">
        <v>52.604100000000003</v>
      </c>
      <c r="D192" s="9">
        <v>47.243499999999997</v>
      </c>
      <c r="E192" s="9">
        <v>58.573</v>
      </c>
      <c r="F192" s="14">
        <f t="shared" si="2"/>
        <v>11.329500000000003</v>
      </c>
      <c r="G192" s="15">
        <f>Ocupados_Proy!$D$192</f>
        <v>835423</v>
      </c>
    </row>
    <row r="193" spans="1:7" ht="15" customHeight="1" x14ac:dyDescent="0.25">
      <c r="A193" s="6" t="s">
        <v>43</v>
      </c>
      <c r="B193" s="10">
        <v>2034</v>
      </c>
      <c r="C193" s="7">
        <v>57.859299999999998</v>
      </c>
      <c r="D193" s="7">
        <v>51.319400000000002</v>
      </c>
      <c r="E193" s="7">
        <v>65.232699999999994</v>
      </c>
      <c r="F193" s="11">
        <f t="shared" si="2"/>
        <v>13.913299999999992</v>
      </c>
      <c r="G193" s="12">
        <f>Ocupados_Proy!$D$193</f>
        <v>420432</v>
      </c>
    </row>
    <row r="194" spans="1:7" ht="15" customHeight="1" x14ac:dyDescent="0.25">
      <c r="A194" s="8" t="s">
        <v>44</v>
      </c>
      <c r="B194" s="13">
        <v>2034</v>
      </c>
      <c r="C194" s="9">
        <v>45.7226</v>
      </c>
      <c r="D194" s="9">
        <v>39.868000000000002</v>
      </c>
      <c r="E194" s="9">
        <v>52.436900000000001</v>
      </c>
      <c r="F194" s="14">
        <f t="shared" si="2"/>
        <v>12.568899999999999</v>
      </c>
      <c r="G194" s="15">
        <f>Ocupados_Proy!$D$194</f>
        <v>339372</v>
      </c>
    </row>
    <row r="195" spans="1:7" ht="15" customHeight="1" x14ac:dyDescent="0.25">
      <c r="A195" s="6" t="s">
        <v>45</v>
      </c>
      <c r="B195" s="10">
        <v>2034</v>
      </c>
      <c r="C195" s="7">
        <v>65.568200000000004</v>
      </c>
      <c r="D195" s="7">
        <v>60.664200000000001</v>
      </c>
      <c r="E195" s="7">
        <v>70.868600000000001</v>
      </c>
      <c r="F195" s="11">
        <f t="shared" si="2"/>
        <v>10.2044</v>
      </c>
      <c r="G195" s="12">
        <f>Ocupados_Proy!$D$195</f>
        <v>290742</v>
      </c>
    </row>
    <row r="196" spans="1:7" ht="15" customHeight="1" x14ac:dyDescent="0.25">
      <c r="A196" s="8" t="s">
        <v>46</v>
      </c>
      <c r="B196" s="13">
        <v>2034</v>
      </c>
      <c r="C196" s="9">
        <v>53.788499999999999</v>
      </c>
      <c r="D196" s="9">
        <v>48.148200000000003</v>
      </c>
      <c r="E196" s="9">
        <v>60.089599999999997</v>
      </c>
      <c r="F196" s="14">
        <f t="shared" si="2"/>
        <v>11.941399999999994</v>
      </c>
      <c r="G196" s="15">
        <f>Ocupados_Proy!$D$196</f>
        <v>325695</v>
      </c>
    </row>
    <row r="197" spans="1:7" ht="15" customHeight="1" x14ac:dyDescent="0.25">
      <c r="A197" s="6" t="s">
        <v>47</v>
      </c>
      <c r="B197" s="10">
        <v>2034</v>
      </c>
      <c r="C197" s="7">
        <v>65.968000000000004</v>
      </c>
      <c r="D197" s="7">
        <v>59.559800000000003</v>
      </c>
      <c r="E197" s="7">
        <v>73.065799999999996</v>
      </c>
      <c r="F197" s="11">
        <f t="shared" ref="F197:F260" si="3">E197-D197</f>
        <v>13.505999999999993</v>
      </c>
      <c r="G197" s="12">
        <f>Ocupados_Proy!$D$197</f>
        <v>543379</v>
      </c>
    </row>
    <row r="198" spans="1:7" ht="15" customHeight="1" x14ac:dyDescent="0.25">
      <c r="A198" s="8" t="s">
        <v>48</v>
      </c>
      <c r="B198" s="13">
        <v>2034</v>
      </c>
      <c r="C198" s="9">
        <v>57.282200000000003</v>
      </c>
      <c r="D198" s="9">
        <v>52.097000000000001</v>
      </c>
      <c r="E198" s="9">
        <v>62.983400000000003</v>
      </c>
      <c r="F198" s="14">
        <f t="shared" si="3"/>
        <v>10.886400000000002</v>
      </c>
      <c r="G198" s="15">
        <f>Ocupados_Proy!$D$198</f>
        <v>386622</v>
      </c>
    </row>
    <row r="199" spans="1:7" ht="15" customHeight="1" x14ac:dyDescent="0.25">
      <c r="A199" s="6" t="s">
        <v>49</v>
      </c>
      <c r="B199" s="10">
        <v>2034</v>
      </c>
      <c r="C199" s="7">
        <v>70.624600000000001</v>
      </c>
      <c r="D199" s="7">
        <v>64.905799999999999</v>
      </c>
      <c r="E199" s="7">
        <v>76.847200000000001</v>
      </c>
      <c r="F199" s="11">
        <f t="shared" si="3"/>
        <v>11.941400000000002</v>
      </c>
      <c r="G199" s="12">
        <f>Ocupados_Proy!$D$199</f>
        <v>451248</v>
      </c>
    </row>
    <row r="200" spans="1:7" ht="15" customHeight="1" x14ac:dyDescent="0.25">
      <c r="A200" s="8" t="s">
        <v>50</v>
      </c>
      <c r="B200" s="13">
        <v>2034</v>
      </c>
      <c r="C200" s="9">
        <v>52.625700000000002</v>
      </c>
      <c r="D200" s="9">
        <v>47.462000000000003</v>
      </c>
      <c r="E200" s="9">
        <v>58.351300000000002</v>
      </c>
      <c r="F200" s="14">
        <f t="shared" si="3"/>
        <v>10.889299999999999</v>
      </c>
      <c r="G200" s="15">
        <f>Ocupados_Proy!$D$200</f>
        <v>669255</v>
      </c>
    </row>
    <row r="201" spans="1:7" ht="15" customHeight="1" x14ac:dyDescent="0.25">
      <c r="A201" s="6" t="s">
        <v>51</v>
      </c>
      <c r="B201" s="10">
        <v>2034</v>
      </c>
      <c r="C201" s="7">
        <v>57.7684</v>
      </c>
      <c r="D201" s="7">
        <v>52.4343</v>
      </c>
      <c r="E201" s="7">
        <v>63.645099999999999</v>
      </c>
      <c r="F201" s="11">
        <f t="shared" si="3"/>
        <v>11.210799999999999</v>
      </c>
      <c r="G201" s="12">
        <f>Ocupados_Proy!$D$201</f>
        <v>432071</v>
      </c>
    </row>
    <row r="202" spans="1:7" ht="15" customHeight="1" x14ac:dyDescent="0.25">
      <c r="A202" s="8" t="s">
        <v>52</v>
      </c>
      <c r="B202" s="13">
        <v>2034</v>
      </c>
      <c r="C202" s="9">
        <v>57.736800000000002</v>
      </c>
      <c r="D202" s="9">
        <v>52.601199999999999</v>
      </c>
      <c r="E202" s="9">
        <v>63.373800000000003</v>
      </c>
      <c r="F202" s="14">
        <f t="shared" si="3"/>
        <v>10.772600000000004</v>
      </c>
      <c r="G202" s="15">
        <f>Ocupados_Proy!$D$202</f>
        <v>148021</v>
      </c>
    </row>
    <row r="203" spans="1:7" ht="15" customHeight="1" x14ac:dyDescent="0.25">
      <c r="A203" s="6" t="s">
        <v>53</v>
      </c>
      <c r="B203" s="10">
        <v>2034</v>
      </c>
      <c r="C203" s="7">
        <v>71.953599999999994</v>
      </c>
      <c r="D203" s="7">
        <v>66.429699999999997</v>
      </c>
      <c r="E203" s="7">
        <v>77.936899999999994</v>
      </c>
      <c r="F203" s="11">
        <f t="shared" si="3"/>
        <v>11.507199999999997</v>
      </c>
      <c r="G203" s="12">
        <f>Ocupados_Proy!$D$203</f>
        <v>141316</v>
      </c>
    </row>
    <row r="204" spans="1:7" ht="15" customHeight="1" x14ac:dyDescent="0.25">
      <c r="A204" s="8" t="s">
        <v>54</v>
      </c>
      <c r="B204" s="13">
        <v>2034</v>
      </c>
      <c r="C204" s="9">
        <v>65.578500000000005</v>
      </c>
      <c r="D204" s="9">
        <v>60.283999999999999</v>
      </c>
      <c r="E204" s="9">
        <v>71.338099999999997</v>
      </c>
      <c r="F204" s="14">
        <f t="shared" si="3"/>
        <v>11.054099999999998</v>
      </c>
      <c r="G204" s="15">
        <f>Ocupados_Proy!$D$204</f>
        <v>263655</v>
      </c>
    </row>
    <row r="205" spans="1:7" ht="15" customHeight="1" x14ac:dyDescent="0.25">
      <c r="A205" s="6" t="s">
        <v>55</v>
      </c>
      <c r="B205" s="10">
        <v>2034</v>
      </c>
      <c r="C205" s="7">
        <v>64.060900000000004</v>
      </c>
      <c r="D205" s="7">
        <v>58.665599999999998</v>
      </c>
      <c r="E205" s="7">
        <v>69.952399999999997</v>
      </c>
      <c r="F205" s="11">
        <f t="shared" si="3"/>
        <v>11.286799999999999</v>
      </c>
      <c r="G205" s="12">
        <f>Ocupados_Proy!$D$205</f>
        <v>507012</v>
      </c>
    </row>
    <row r="206" spans="1:7" ht="15" customHeight="1" x14ac:dyDescent="0.25">
      <c r="A206" s="8" t="s">
        <v>56</v>
      </c>
      <c r="B206" s="13">
        <v>2034</v>
      </c>
      <c r="C206" s="9">
        <v>74.969399999999993</v>
      </c>
      <c r="D206" s="9">
        <v>69.437600000000003</v>
      </c>
      <c r="E206" s="9">
        <v>80.941900000000004</v>
      </c>
      <c r="F206" s="14">
        <f t="shared" si="3"/>
        <v>11.504300000000001</v>
      </c>
      <c r="G206" s="15">
        <f>Ocupados_Proy!$D$206</f>
        <v>105902</v>
      </c>
    </row>
    <row r="207" spans="1:7" ht="15" customHeight="1" x14ac:dyDescent="0.25">
      <c r="A207" s="6" t="s">
        <v>57</v>
      </c>
      <c r="B207" s="10">
        <v>2034</v>
      </c>
      <c r="C207" s="7">
        <v>61.501899999999999</v>
      </c>
      <c r="D207" s="7">
        <v>56.206899999999997</v>
      </c>
      <c r="E207" s="7">
        <v>67.295699999999997</v>
      </c>
      <c r="F207" s="11">
        <f t="shared" si="3"/>
        <v>11.088799999999999</v>
      </c>
      <c r="G207" s="12">
        <f>Ocupados_Proy!$D$207</f>
        <v>308402</v>
      </c>
    </row>
    <row r="208" spans="1:7" ht="15" customHeight="1" x14ac:dyDescent="0.25">
      <c r="A208" s="8" t="s">
        <v>58</v>
      </c>
      <c r="B208" s="13">
        <v>2034</v>
      </c>
      <c r="C208" s="9">
        <v>69.743300000000005</v>
      </c>
      <c r="D208" s="9">
        <v>64.294300000000007</v>
      </c>
      <c r="E208" s="9">
        <v>75.6541</v>
      </c>
      <c r="F208" s="14">
        <f t="shared" si="3"/>
        <v>11.359799999999993</v>
      </c>
      <c r="G208" s="15">
        <f>Ocupados_Proy!$D$208</f>
        <v>146817</v>
      </c>
    </row>
    <row r="209" spans="1:7" ht="15" customHeight="1" x14ac:dyDescent="0.25">
      <c r="A209" s="6" t="s">
        <v>59</v>
      </c>
      <c r="B209" s="10">
        <v>2034</v>
      </c>
      <c r="C209" s="7">
        <v>55.191899999999997</v>
      </c>
      <c r="D209" s="7">
        <v>49.940300000000001</v>
      </c>
      <c r="E209" s="7">
        <v>60.995699999999999</v>
      </c>
      <c r="F209" s="11">
        <f t="shared" si="3"/>
        <v>11.055399999999999</v>
      </c>
      <c r="G209" s="12">
        <f>Ocupados_Proy!$D$209</f>
        <v>442126</v>
      </c>
    </row>
    <row r="210" spans="1:7" ht="15" customHeight="1" x14ac:dyDescent="0.25">
      <c r="A210" s="8" t="s">
        <v>60</v>
      </c>
      <c r="B210" s="13">
        <v>2034</v>
      </c>
      <c r="C210" s="9">
        <v>51.375799999999998</v>
      </c>
      <c r="D210" s="9">
        <v>46.109200000000001</v>
      </c>
      <c r="E210" s="9">
        <v>57.244</v>
      </c>
      <c r="F210" s="14">
        <f t="shared" si="3"/>
        <v>11.134799999999998</v>
      </c>
      <c r="G210" s="15">
        <f>Ocupados_Proy!$D$210</f>
        <v>204963</v>
      </c>
    </row>
    <row r="211" spans="1:7" ht="15" customHeight="1" x14ac:dyDescent="0.25">
      <c r="A211" s="6" t="s">
        <v>61</v>
      </c>
      <c r="B211" s="10">
        <v>2034</v>
      </c>
      <c r="C211" s="7">
        <v>64.718999999999994</v>
      </c>
      <c r="D211" s="7">
        <v>59.2913</v>
      </c>
      <c r="E211" s="7">
        <v>70.643600000000006</v>
      </c>
      <c r="F211" s="11">
        <f t="shared" si="3"/>
        <v>11.352300000000007</v>
      </c>
      <c r="G211" s="12">
        <f>Ocupados_Proy!$D$211</f>
        <v>252613</v>
      </c>
    </row>
    <row r="212" spans="1:7" ht="15" customHeight="1" x14ac:dyDescent="0.25">
      <c r="A212" s="6" t="s">
        <v>39</v>
      </c>
      <c r="B212" s="10">
        <v>2035</v>
      </c>
      <c r="C212" s="7">
        <v>38.583100000000002</v>
      </c>
      <c r="D212" s="7">
        <v>33.295900000000003</v>
      </c>
      <c r="E212" s="7">
        <v>44.709800000000001</v>
      </c>
      <c r="F212" s="11">
        <f t="shared" si="3"/>
        <v>11.413899999999998</v>
      </c>
      <c r="G212" s="12">
        <f>Ocupados_Proy!$D$212</f>
        <v>5541488</v>
      </c>
    </row>
    <row r="213" spans="1:7" ht="15" customHeight="1" x14ac:dyDescent="0.25">
      <c r="A213" s="8" t="s">
        <v>40</v>
      </c>
      <c r="B213" s="13">
        <v>2035</v>
      </c>
      <c r="C213" s="9">
        <v>38.126399999999997</v>
      </c>
      <c r="D213" s="9">
        <v>31.645499999999998</v>
      </c>
      <c r="E213" s="9">
        <v>45.934600000000003</v>
      </c>
      <c r="F213" s="14">
        <f t="shared" si="3"/>
        <v>14.289100000000005</v>
      </c>
      <c r="G213" s="15">
        <f>Ocupados_Proy!$D$213</f>
        <v>1699729</v>
      </c>
    </row>
    <row r="214" spans="1:7" ht="15" customHeight="1" x14ac:dyDescent="0.25">
      <c r="A214" s="6" t="s">
        <v>41</v>
      </c>
      <c r="B214" s="10">
        <v>2035</v>
      </c>
      <c r="C214" s="7">
        <v>45.490600000000001</v>
      </c>
      <c r="D214" s="7">
        <v>39.242400000000004</v>
      </c>
      <c r="E214" s="7">
        <v>52.733699999999999</v>
      </c>
      <c r="F214" s="11">
        <f t="shared" si="3"/>
        <v>13.491299999999995</v>
      </c>
      <c r="G214" s="12">
        <f>Ocupados_Proy!$D$214</f>
        <v>1488973</v>
      </c>
    </row>
    <row r="215" spans="1:7" ht="15" customHeight="1" x14ac:dyDescent="0.25">
      <c r="A215" s="8" t="s">
        <v>42</v>
      </c>
      <c r="B215" s="13">
        <v>2035</v>
      </c>
      <c r="C215" s="9">
        <v>52.290700000000001</v>
      </c>
      <c r="D215" s="9">
        <v>46.716200000000001</v>
      </c>
      <c r="E215" s="9">
        <v>58.530200000000001</v>
      </c>
      <c r="F215" s="14">
        <f t="shared" si="3"/>
        <v>11.814</v>
      </c>
      <c r="G215" s="15">
        <f>Ocupados_Proy!$D$215</f>
        <v>830661</v>
      </c>
    </row>
    <row r="216" spans="1:7" ht="15" customHeight="1" x14ac:dyDescent="0.25">
      <c r="A216" s="6" t="s">
        <v>43</v>
      </c>
      <c r="B216" s="10">
        <v>2035</v>
      </c>
      <c r="C216" s="7">
        <v>57.474699999999999</v>
      </c>
      <c r="D216" s="7">
        <v>50.680700000000002</v>
      </c>
      <c r="E216" s="7">
        <v>65.179500000000004</v>
      </c>
      <c r="F216" s="11">
        <f t="shared" si="3"/>
        <v>14.498800000000003</v>
      </c>
      <c r="G216" s="12">
        <f>Ocupados_Proy!$D$216</f>
        <v>419470</v>
      </c>
    </row>
    <row r="217" spans="1:7" ht="15" customHeight="1" x14ac:dyDescent="0.25">
      <c r="A217" s="8" t="s">
        <v>44</v>
      </c>
      <c r="B217" s="13">
        <v>2035</v>
      </c>
      <c r="C217" s="9">
        <v>45.375500000000002</v>
      </c>
      <c r="D217" s="9">
        <v>39.301699999999997</v>
      </c>
      <c r="E217" s="9">
        <v>52.388100000000001</v>
      </c>
      <c r="F217" s="14">
        <f t="shared" si="3"/>
        <v>13.086400000000005</v>
      </c>
      <c r="G217" s="15">
        <f>Ocupados_Proy!$D$217</f>
        <v>340452</v>
      </c>
    </row>
    <row r="218" spans="1:7" ht="15" customHeight="1" x14ac:dyDescent="0.25">
      <c r="A218" s="6" t="s">
        <v>45</v>
      </c>
      <c r="B218" s="10">
        <v>2035</v>
      </c>
      <c r="C218" s="7">
        <v>65.285399999999996</v>
      </c>
      <c r="D218" s="7">
        <v>60.1738</v>
      </c>
      <c r="E218" s="7">
        <v>70.831199999999995</v>
      </c>
      <c r="F218" s="11">
        <f t="shared" si="3"/>
        <v>10.657399999999996</v>
      </c>
      <c r="G218" s="12">
        <f>Ocupados_Proy!$D$218</f>
        <v>290414</v>
      </c>
    </row>
    <row r="219" spans="1:7" ht="15" customHeight="1" x14ac:dyDescent="0.25">
      <c r="A219" s="8" t="s">
        <v>46</v>
      </c>
      <c r="B219" s="13">
        <v>2035</v>
      </c>
      <c r="C219" s="9">
        <v>53.458199999999998</v>
      </c>
      <c r="D219" s="9">
        <v>47.594499999999996</v>
      </c>
      <c r="E219" s="9">
        <v>60.0443</v>
      </c>
      <c r="F219" s="14">
        <f t="shared" si="3"/>
        <v>12.449800000000003</v>
      </c>
      <c r="G219" s="15">
        <f>Ocupados_Proy!$D$219</f>
        <v>324592</v>
      </c>
    </row>
    <row r="220" spans="1:7" ht="15" customHeight="1" x14ac:dyDescent="0.25">
      <c r="A220" s="6" t="s">
        <v>47</v>
      </c>
      <c r="B220" s="10">
        <v>2035</v>
      </c>
      <c r="C220" s="7">
        <v>65.594200000000001</v>
      </c>
      <c r="D220" s="7">
        <v>58.927599999999998</v>
      </c>
      <c r="E220" s="7">
        <v>73.015000000000001</v>
      </c>
      <c r="F220" s="11">
        <f t="shared" si="3"/>
        <v>14.087400000000002</v>
      </c>
      <c r="G220" s="12">
        <f>Ocupados_Proy!$D$220</f>
        <v>541821</v>
      </c>
    </row>
    <row r="221" spans="1:7" ht="15" customHeight="1" x14ac:dyDescent="0.25">
      <c r="A221" s="8" t="s">
        <v>48</v>
      </c>
      <c r="B221" s="13">
        <v>2035</v>
      </c>
      <c r="C221" s="9">
        <v>56.980699999999999</v>
      </c>
      <c r="D221" s="9">
        <v>51.583399999999997</v>
      </c>
      <c r="E221" s="9">
        <v>62.942799999999998</v>
      </c>
      <c r="F221" s="14">
        <f t="shared" si="3"/>
        <v>11.359400000000001</v>
      </c>
      <c r="G221" s="15">
        <f>Ocupados_Proy!$D$221</f>
        <v>387481</v>
      </c>
    </row>
    <row r="222" spans="1:7" ht="15" customHeight="1" x14ac:dyDescent="0.25">
      <c r="A222" s="6" t="s">
        <v>49</v>
      </c>
      <c r="B222" s="10">
        <v>2035</v>
      </c>
      <c r="C222" s="7">
        <v>70.293700000000001</v>
      </c>
      <c r="D222" s="7">
        <v>64.335999999999999</v>
      </c>
      <c r="E222" s="7">
        <v>76.803100000000001</v>
      </c>
      <c r="F222" s="11">
        <f t="shared" si="3"/>
        <v>12.467100000000002</v>
      </c>
      <c r="G222" s="12">
        <f>Ocupados_Proy!$D$222</f>
        <v>458482</v>
      </c>
    </row>
    <row r="223" spans="1:7" ht="15" customHeight="1" x14ac:dyDescent="0.25">
      <c r="A223" s="8" t="s">
        <v>50</v>
      </c>
      <c r="B223" s="13">
        <v>2035</v>
      </c>
      <c r="C223" s="9">
        <v>52.324399999999997</v>
      </c>
      <c r="D223" s="9">
        <v>46.9529</v>
      </c>
      <c r="E223" s="9">
        <v>58.310299999999998</v>
      </c>
      <c r="F223" s="14">
        <f t="shared" si="3"/>
        <v>11.357399999999998</v>
      </c>
      <c r="G223" s="15">
        <f>Ocupados_Proy!$D$223</f>
        <v>668910</v>
      </c>
    </row>
    <row r="224" spans="1:7" ht="15" customHeight="1" x14ac:dyDescent="0.25">
      <c r="A224" s="6" t="s">
        <v>51</v>
      </c>
      <c r="B224" s="10">
        <v>2035</v>
      </c>
      <c r="C224" s="7">
        <v>57.457999999999998</v>
      </c>
      <c r="D224" s="7">
        <v>51.906500000000001</v>
      </c>
      <c r="E224" s="7">
        <v>63.603200000000001</v>
      </c>
      <c r="F224" s="11">
        <f t="shared" si="3"/>
        <v>11.6967</v>
      </c>
      <c r="G224" s="12">
        <f>Ocupados_Proy!$D$224</f>
        <v>434339</v>
      </c>
    </row>
    <row r="225" spans="1:7" ht="15" customHeight="1" x14ac:dyDescent="0.25">
      <c r="A225" s="8" t="s">
        <v>52</v>
      </c>
      <c r="B225" s="13">
        <v>2035</v>
      </c>
      <c r="C225" s="9">
        <v>57.438400000000001</v>
      </c>
      <c r="D225" s="9">
        <v>52.091999999999999</v>
      </c>
      <c r="E225" s="9">
        <v>63.333599999999997</v>
      </c>
      <c r="F225" s="14">
        <f t="shared" si="3"/>
        <v>11.241599999999998</v>
      </c>
      <c r="G225" s="15">
        <f>Ocupados_Proy!$D$225</f>
        <v>149576</v>
      </c>
    </row>
    <row r="226" spans="1:7" ht="15" customHeight="1" x14ac:dyDescent="0.25">
      <c r="A226" s="6" t="s">
        <v>53</v>
      </c>
      <c r="B226" s="10">
        <v>2035</v>
      </c>
      <c r="C226" s="7">
        <v>71.634699999999995</v>
      </c>
      <c r="D226" s="7">
        <v>65.877899999999997</v>
      </c>
      <c r="E226" s="7">
        <v>77.894499999999994</v>
      </c>
      <c r="F226" s="11">
        <f t="shared" si="3"/>
        <v>12.016599999999997</v>
      </c>
      <c r="G226" s="12">
        <f>Ocupados_Proy!$D$226</f>
        <v>142428</v>
      </c>
    </row>
    <row r="227" spans="1:7" ht="15" customHeight="1" x14ac:dyDescent="0.25">
      <c r="A227" s="8" t="s">
        <v>54</v>
      </c>
      <c r="B227" s="13">
        <v>2035</v>
      </c>
      <c r="C227" s="9">
        <v>65.272199999999998</v>
      </c>
      <c r="D227" s="9">
        <v>59.756399999999999</v>
      </c>
      <c r="E227" s="9">
        <v>71.297200000000004</v>
      </c>
      <c r="F227" s="14">
        <f t="shared" si="3"/>
        <v>11.540800000000004</v>
      </c>
      <c r="G227" s="15">
        <f>Ocupados_Proy!$D$227</f>
        <v>265120</v>
      </c>
    </row>
    <row r="228" spans="1:7" ht="15" customHeight="1" x14ac:dyDescent="0.25">
      <c r="A228" s="6" t="s">
        <v>55</v>
      </c>
      <c r="B228" s="10">
        <v>2035</v>
      </c>
      <c r="C228" s="7">
        <v>63.748199999999997</v>
      </c>
      <c r="D228" s="7">
        <v>58.129100000000001</v>
      </c>
      <c r="E228" s="7">
        <v>69.910600000000002</v>
      </c>
      <c r="F228" s="11">
        <f t="shared" si="3"/>
        <v>11.781500000000001</v>
      </c>
      <c r="G228" s="12">
        <f>Ocupados_Proy!$D$228</f>
        <v>517146</v>
      </c>
    </row>
    <row r="229" spans="1:7" ht="15" customHeight="1" x14ac:dyDescent="0.25">
      <c r="A229" s="8" t="s">
        <v>56</v>
      </c>
      <c r="B229" s="13">
        <v>2035</v>
      </c>
      <c r="C229" s="9">
        <v>74.650499999999994</v>
      </c>
      <c r="D229" s="9">
        <v>68.884</v>
      </c>
      <c r="E229" s="9">
        <v>80.899699999999996</v>
      </c>
      <c r="F229" s="14">
        <f t="shared" si="3"/>
        <v>12.015699999999995</v>
      </c>
      <c r="G229" s="15">
        <f>Ocupados_Proy!$D$229</f>
        <v>107012</v>
      </c>
    </row>
    <row r="230" spans="1:7" ht="15" customHeight="1" x14ac:dyDescent="0.25">
      <c r="A230" s="6" t="s">
        <v>57</v>
      </c>
      <c r="B230" s="10">
        <v>2035</v>
      </c>
      <c r="C230" s="7">
        <v>61.194800000000001</v>
      </c>
      <c r="D230" s="7">
        <v>55.680999999999997</v>
      </c>
      <c r="E230" s="7">
        <v>67.254499999999993</v>
      </c>
      <c r="F230" s="11">
        <f t="shared" si="3"/>
        <v>11.573499999999996</v>
      </c>
      <c r="G230" s="12">
        <f>Ocupados_Proy!$D$230</f>
        <v>312035</v>
      </c>
    </row>
    <row r="231" spans="1:7" ht="15" customHeight="1" x14ac:dyDescent="0.25">
      <c r="A231" s="8" t="s">
        <v>58</v>
      </c>
      <c r="B231" s="13">
        <v>2035</v>
      </c>
      <c r="C231" s="9">
        <v>69.4285</v>
      </c>
      <c r="D231" s="9">
        <v>63.750500000000002</v>
      </c>
      <c r="E231" s="9">
        <v>75.612300000000005</v>
      </c>
      <c r="F231" s="14">
        <f t="shared" si="3"/>
        <v>11.861800000000002</v>
      </c>
      <c r="G231" s="15">
        <f>Ocupados_Proy!$D$231</f>
        <v>147473</v>
      </c>
    </row>
    <row r="232" spans="1:7" ht="15" customHeight="1" x14ac:dyDescent="0.25">
      <c r="A232" s="6" t="s">
        <v>59</v>
      </c>
      <c r="B232" s="10">
        <v>2035</v>
      </c>
      <c r="C232" s="7">
        <v>54.885899999999999</v>
      </c>
      <c r="D232" s="7">
        <v>49.421599999999998</v>
      </c>
      <c r="E232" s="7">
        <v>60.954300000000003</v>
      </c>
      <c r="F232" s="11">
        <f t="shared" si="3"/>
        <v>11.532700000000006</v>
      </c>
      <c r="G232" s="12">
        <f>Ocupados_Proy!$D$232</f>
        <v>445975</v>
      </c>
    </row>
    <row r="233" spans="1:7" ht="15" customHeight="1" x14ac:dyDescent="0.25">
      <c r="A233" s="8" t="s">
        <v>60</v>
      </c>
      <c r="B233" s="13">
        <v>2035</v>
      </c>
      <c r="C233" s="9">
        <v>51.067799999999998</v>
      </c>
      <c r="D233" s="9">
        <v>45.5914</v>
      </c>
      <c r="E233" s="9">
        <v>57.201999999999998</v>
      </c>
      <c r="F233" s="14">
        <f t="shared" si="3"/>
        <v>11.610599999999998</v>
      </c>
      <c r="G233" s="15">
        <f>Ocupados_Proy!$D$233</f>
        <v>204359</v>
      </c>
    </row>
    <row r="234" spans="1:7" ht="15" customHeight="1" x14ac:dyDescent="0.25">
      <c r="A234" s="6" t="s">
        <v>61</v>
      </c>
      <c r="B234" s="10">
        <v>2035</v>
      </c>
      <c r="C234" s="7">
        <v>64.404499999999999</v>
      </c>
      <c r="D234" s="7">
        <v>58.751399999999997</v>
      </c>
      <c r="E234" s="7">
        <v>70.601500000000001</v>
      </c>
      <c r="F234" s="11">
        <f t="shared" si="3"/>
        <v>11.850100000000005</v>
      </c>
      <c r="G234" s="12">
        <f>Ocupados_Proy!$D$234</f>
        <v>255962</v>
      </c>
    </row>
    <row r="235" spans="1:7" ht="15" customHeight="1" x14ac:dyDescent="0.25">
      <c r="A235" s="6" t="s">
        <v>39</v>
      </c>
      <c r="B235" s="10">
        <v>2036</v>
      </c>
      <c r="C235" s="7">
        <v>38.282699999999998</v>
      </c>
      <c r="D235" s="7">
        <v>32.820999999999998</v>
      </c>
      <c r="E235" s="7">
        <v>44.653399999999998</v>
      </c>
      <c r="F235" s="11">
        <f t="shared" si="3"/>
        <v>11.8324</v>
      </c>
      <c r="G235" s="12">
        <f>Ocupados_Proy!$D$235</f>
        <v>5512517</v>
      </c>
    </row>
    <row r="236" spans="1:7" ht="15" customHeight="1" x14ac:dyDescent="0.25">
      <c r="A236" s="8" t="s">
        <v>40</v>
      </c>
      <c r="B236" s="13">
        <v>2036</v>
      </c>
      <c r="C236" s="9">
        <v>37.751600000000003</v>
      </c>
      <c r="D236" s="9">
        <v>31.075900000000001</v>
      </c>
      <c r="E236" s="9">
        <v>45.861400000000003</v>
      </c>
      <c r="F236" s="14">
        <f t="shared" si="3"/>
        <v>14.785500000000003</v>
      </c>
      <c r="G236" s="15">
        <f>Ocupados_Proy!$D$236</f>
        <v>1690373</v>
      </c>
    </row>
    <row r="237" spans="1:7" ht="15" customHeight="1" x14ac:dyDescent="0.25">
      <c r="A237" s="6" t="s">
        <v>41</v>
      </c>
      <c r="B237" s="10">
        <v>2036</v>
      </c>
      <c r="C237" s="7">
        <v>45.135599999999997</v>
      </c>
      <c r="D237" s="7">
        <v>38.681199999999997</v>
      </c>
      <c r="E237" s="7">
        <v>52.667099999999998</v>
      </c>
      <c r="F237" s="11">
        <f t="shared" si="3"/>
        <v>13.985900000000001</v>
      </c>
      <c r="G237" s="12">
        <f>Ocupados_Proy!$D$237</f>
        <v>1478141</v>
      </c>
    </row>
    <row r="238" spans="1:7" ht="15" customHeight="1" x14ac:dyDescent="0.25">
      <c r="A238" s="8" t="s">
        <v>42</v>
      </c>
      <c r="B238" s="13">
        <v>2036</v>
      </c>
      <c r="C238" s="9">
        <v>51.979100000000003</v>
      </c>
      <c r="D238" s="9">
        <v>46.2057</v>
      </c>
      <c r="E238" s="9">
        <v>58.473799999999997</v>
      </c>
      <c r="F238" s="14">
        <f t="shared" si="3"/>
        <v>12.268099999999997</v>
      </c>
      <c r="G238" s="15">
        <f>Ocupados_Proy!$D$238</f>
        <v>828919</v>
      </c>
    </row>
    <row r="239" spans="1:7" ht="15" customHeight="1" x14ac:dyDescent="0.25">
      <c r="A239" s="6" t="s">
        <v>43</v>
      </c>
      <c r="B239" s="10">
        <v>2036</v>
      </c>
      <c r="C239" s="7">
        <v>57.092599999999997</v>
      </c>
      <c r="D239" s="7">
        <v>50.063000000000002</v>
      </c>
      <c r="E239" s="7">
        <v>65.109399999999994</v>
      </c>
      <c r="F239" s="11">
        <f t="shared" si="3"/>
        <v>15.046399999999991</v>
      </c>
      <c r="G239" s="12">
        <f>Ocupados_Proy!$D$239</f>
        <v>418410</v>
      </c>
    </row>
    <row r="240" spans="1:7" ht="15" customHeight="1" x14ac:dyDescent="0.25">
      <c r="A240" s="8" t="s">
        <v>44</v>
      </c>
      <c r="B240" s="13">
        <v>2036</v>
      </c>
      <c r="C240" s="9">
        <v>45.031100000000002</v>
      </c>
      <c r="D240" s="9">
        <v>38.754899999999999</v>
      </c>
      <c r="E240" s="9">
        <v>52.323700000000002</v>
      </c>
      <c r="F240" s="14">
        <f t="shared" si="3"/>
        <v>13.568800000000003</v>
      </c>
      <c r="G240" s="15">
        <f>Ocupados_Proy!$D$240</f>
        <v>341517</v>
      </c>
    </row>
    <row r="241" spans="1:7" ht="15" customHeight="1" x14ac:dyDescent="0.25">
      <c r="A241" s="6" t="s">
        <v>45</v>
      </c>
      <c r="B241" s="10">
        <v>2036</v>
      </c>
      <c r="C241" s="7">
        <v>65.003799999999998</v>
      </c>
      <c r="D241" s="7">
        <v>59.697400000000002</v>
      </c>
      <c r="E241" s="7">
        <v>70.781800000000004</v>
      </c>
      <c r="F241" s="11">
        <f t="shared" si="3"/>
        <v>11.084400000000002</v>
      </c>
      <c r="G241" s="12">
        <f>Ocupados_Proy!$D$241</f>
        <v>289993</v>
      </c>
    </row>
    <row r="242" spans="1:7" ht="15" customHeight="1" x14ac:dyDescent="0.25">
      <c r="A242" s="8" t="s">
        <v>46</v>
      </c>
      <c r="B242" s="13">
        <v>2036</v>
      </c>
      <c r="C242" s="9">
        <v>53.129899999999999</v>
      </c>
      <c r="D242" s="9">
        <v>47.058500000000002</v>
      </c>
      <c r="E242" s="9">
        <v>59.984699999999997</v>
      </c>
      <c r="F242" s="14">
        <f t="shared" si="3"/>
        <v>12.926199999999994</v>
      </c>
      <c r="G242" s="15">
        <f>Ocupados_Proy!$D$242</f>
        <v>323415</v>
      </c>
    </row>
    <row r="243" spans="1:7" ht="15" customHeight="1" x14ac:dyDescent="0.25">
      <c r="A243" s="6" t="s">
        <v>47</v>
      </c>
      <c r="B243" s="10">
        <v>2036</v>
      </c>
      <c r="C243" s="7">
        <v>65.222499999999997</v>
      </c>
      <c r="D243" s="7">
        <v>58.315100000000001</v>
      </c>
      <c r="E243" s="7">
        <v>72.948099999999997</v>
      </c>
      <c r="F243" s="11">
        <f t="shared" si="3"/>
        <v>14.632999999999996</v>
      </c>
      <c r="G243" s="12">
        <f>Ocupados_Proy!$D$243</f>
        <v>540053</v>
      </c>
    </row>
    <row r="244" spans="1:7" ht="15" customHeight="1" x14ac:dyDescent="0.25">
      <c r="A244" s="8" t="s">
        <v>48</v>
      </c>
      <c r="B244" s="13">
        <v>2036</v>
      </c>
      <c r="C244" s="9">
        <v>56.680900000000001</v>
      </c>
      <c r="D244" s="9">
        <v>51.0854</v>
      </c>
      <c r="E244" s="9">
        <v>62.889200000000002</v>
      </c>
      <c r="F244" s="14">
        <f t="shared" si="3"/>
        <v>11.803800000000003</v>
      </c>
      <c r="G244" s="15">
        <f>Ocupados_Proy!$D$244</f>
        <v>388316</v>
      </c>
    </row>
    <row r="245" spans="1:7" ht="15" customHeight="1" x14ac:dyDescent="0.25">
      <c r="A245" s="6" t="s">
        <v>49</v>
      </c>
      <c r="B245" s="10">
        <v>2036</v>
      </c>
      <c r="C245" s="7">
        <v>69.964399999999998</v>
      </c>
      <c r="D245" s="7">
        <v>63.782899999999998</v>
      </c>
      <c r="E245" s="7">
        <v>76.745000000000005</v>
      </c>
      <c r="F245" s="11">
        <f t="shared" si="3"/>
        <v>12.962100000000007</v>
      </c>
      <c r="G245" s="12">
        <f>Ocupados_Proy!$D$245</f>
        <v>465656</v>
      </c>
    </row>
    <row r="246" spans="1:7" ht="15" customHeight="1" x14ac:dyDescent="0.25">
      <c r="A246" s="8" t="s">
        <v>50</v>
      </c>
      <c r="B246" s="13">
        <v>2036</v>
      </c>
      <c r="C246" s="9">
        <v>52.024700000000003</v>
      </c>
      <c r="D246" s="9">
        <v>46.459699999999998</v>
      </c>
      <c r="E246" s="9">
        <v>58.256300000000003</v>
      </c>
      <c r="F246" s="14">
        <f t="shared" si="3"/>
        <v>11.796600000000005</v>
      </c>
      <c r="G246" s="15">
        <f>Ocupados_Proy!$D$246</f>
        <v>668403</v>
      </c>
    </row>
    <row r="247" spans="1:7" ht="15" customHeight="1" x14ac:dyDescent="0.25">
      <c r="A247" s="6" t="s">
        <v>51</v>
      </c>
      <c r="B247" s="10">
        <v>2036</v>
      </c>
      <c r="C247" s="7">
        <v>57.149299999999997</v>
      </c>
      <c r="D247" s="7">
        <v>51.3949</v>
      </c>
      <c r="E247" s="7">
        <v>63.548000000000002</v>
      </c>
      <c r="F247" s="11">
        <f t="shared" si="3"/>
        <v>12.153100000000002</v>
      </c>
      <c r="G247" s="12">
        <f>Ocupados_Proy!$D$247</f>
        <v>436535</v>
      </c>
    </row>
    <row r="248" spans="1:7" ht="15" customHeight="1" x14ac:dyDescent="0.25">
      <c r="A248" s="8" t="s">
        <v>52</v>
      </c>
      <c r="B248" s="13">
        <v>2036</v>
      </c>
      <c r="C248" s="9">
        <v>57.1417</v>
      </c>
      <c r="D248" s="9">
        <v>51.598199999999999</v>
      </c>
      <c r="E248" s="9">
        <v>63.280700000000003</v>
      </c>
      <c r="F248" s="14">
        <f t="shared" si="3"/>
        <v>11.682500000000005</v>
      </c>
      <c r="G248" s="15">
        <f>Ocupados_Proy!$D$248</f>
        <v>151573</v>
      </c>
    </row>
    <row r="249" spans="1:7" ht="15" customHeight="1" x14ac:dyDescent="0.25">
      <c r="A249" s="6" t="s">
        <v>53</v>
      </c>
      <c r="B249" s="10">
        <v>2036</v>
      </c>
      <c r="C249" s="7">
        <v>71.3172</v>
      </c>
      <c r="D249" s="7">
        <v>65.342100000000002</v>
      </c>
      <c r="E249" s="7">
        <v>77.838700000000003</v>
      </c>
      <c r="F249" s="11">
        <f t="shared" si="3"/>
        <v>12.496600000000001</v>
      </c>
      <c r="G249" s="12">
        <f>Ocupados_Proy!$D$249</f>
        <v>143509</v>
      </c>
    </row>
    <row r="250" spans="1:7" ht="15" customHeight="1" x14ac:dyDescent="0.25">
      <c r="A250" s="8" t="s">
        <v>54</v>
      </c>
      <c r="B250" s="13">
        <v>2036</v>
      </c>
      <c r="C250" s="9">
        <v>64.967399999999998</v>
      </c>
      <c r="D250" s="9">
        <v>59.244300000000003</v>
      </c>
      <c r="E250" s="9">
        <v>71.243399999999994</v>
      </c>
      <c r="F250" s="14">
        <f t="shared" si="3"/>
        <v>11.999099999999991</v>
      </c>
      <c r="G250" s="15">
        <f>Ocupados_Proy!$D$250</f>
        <v>266460</v>
      </c>
    </row>
    <row r="251" spans="1:7" ht="15" customHeight="1" x14ac:dyDescent="0.25">
      <c r="A251" s="6" t="s">
        <v>55</v>
      </c>
      <c r="B251" s="10">
        <v>2036</v>
      </c>
      <c r="C251" s="7">
        <v>63.437100000000001</v>
      </c>
      <c r="D251" s="7">
        <v>57.608499999999999</v>
      </c>
      <c r="E251" s="7">
        <v>69.855400000000003</v>
      </c>
      <c r="F251" s="11">
        <f t="shared" si="3"/>
        <v>12.246900000000004</v>
      </c>
      <c r="G251" s="12">
        <f>Ocupados_Proy!$D$251</f>
        <v>527126</v>
      </c>
    </row>
    <row r="252" spans="1:7" ht="15" customHeight="1" x14ac:dyDescent="0.25">
      <c r="A252" s="8" t="s">
        <v>56</v>
      </c>
      <c r="B252" s="13">
        <v>2036</v>
      </c>
      <c r="C252" s="9">
        <v>74.332999999999998</v>
      </c>
      <c r="D252" s="9">
        <v>68.346299999999999</v>
      </c>
      <c r="E252" s="9">
        <v>80.844099999999997</v>
      </c>
      <c r="F252" s="14">
        <f t="shared" si="3"/>
        <v>12.497799999999998</v>
      </c>
      <c r="G252" s="15">
        <f>Ocupados_Proy!$D$252</f>
        <v>108093</v>
      </c>
    </row>
    <row r="253" spans="1:7" ht="15" customHeight="1" x14ac:dyDescent="0.25">
      <c r="A253" s="6" t="s">
        <v>57</v>
      </c>
      <c r="B253" s="10">
        <v>2036</v>
      </c>
      <c r="C253" s="7">
        <v>60.889200000000002</v>
      </c>
      <c r="D253" s="7">
        <v>55.1708</v>
      </c>
      <c r="E253" s="7">
        <v>67.200199999999995</v>
      </c>
      <c r="F253" s="11">
        <f t="shared" si="3"/>
        <v>12.029399999999995</v>
      </c>
      <c r="G253" s="12">
        <f>Ocupados_Proy!$D$253</f>
        <v>315542</v>
      </c>
    </row>
    <row r="254" spans="1:7" ht="15" customHeight="1" x14ac:dyDescent="0.25">
      <c r="A254" s="8" t="s">
        <v>58</v>
      </c>
      <c r="B254" s="13">
        <v>2036</v>
      </c>
      <c r="C254" s="9">
        <v>69.115200000000002</v>
      </c>
      <c r="D254" s="9">
        <v>63.222499999999997</v>
      </c>
      <c r="E254" s="9">
        <v>75.557100000000005</v>
      </c>
      <c r="F254" s="14">
        <f t="shared" si="3"/>
        <v>12.334600000000009</v>
      </c>
      <c r="G254" s="15">
        <f>Ocupados_Proy!$D$254</f>
        <v>148030</v>
      </c>
    </row>
    <row r="255" spans="1:7" ht="15" customHeight="1" x14ac:dyDescent="0.25">
      <c r="A255" s="6" t="s">
        <v>59</v>
      </c>
      <c r="B255" s="10">
        <v>2036</v>
      </c>
      <c r="C255" s="7">
        <v>54.581600000000002</v>
      </c>
      <c r="D255" s="7">
        <v>48.918999999999997</v>
      </c>
      <c r="E255" s="7">
        <v>60.8996</v>
      </c>
      <c r="F255" s="11">
        <f t="shared" si="3"/>
        <v>11.980600000000003</v>
      </c>
      <c r="G255" s="12">
        <f>Ocupados_Proy!$D$255</f>
        <v>449531</v>
      </c>
    </row>
    <row r="256" spans="1:7" ht="15" customHeight="1" x14ac:dyDescent="0.25">
      <c r="A256" s="8" t="s">
        <v>60</v>
      </c>
      <c r="B256" s="13">
        <v>2036</v>
      </c>
      <c r="C256" s="9">
        <v>50.761600000000001</v>
      </c>
      <c r="D256" s="9">
        <v>45.09</v>
      </c>
      <c r="E256" s="9">
        <v>57.146500000000003</v>
      </c>
      <c r="F256" s="14">
        <f t="shared" si="3"/>
        <v>12.0565</v>
      </c>
      <c r="G256" s="15">
        <f>Ocupados_Proy!$D$256</f>
        <v>203770</v>
      </c>
    </row>
    <row r="257" spans="1:7" ht="15" customHeight="1" x14ac:dyDescent="0.25">
      <c r="A257" s="6" t="s">
        <v>61</v>
      </c>
      <c r="B257" s="10">
        <v>2036</v>
      </c>
      <c r="C257" s="7">
        <v>64.0916</v>
      </c>
      <c r="D257" s="7">
        <v>58.227600000000002</v>
      </c>
      <c r="E257" s="7">
        <v>70.546000000000006</v>
      </c>
      <c r="F257" s="11">
        <f t="shared" si="3"/>
        <v>12.318400000000004</v>
      </c>
      <c r="G257" s="12">
        <f>Ocupados_Proy!$D$257</f>
        <v>259186</v>
      </c>
    </row>
    <row r="258" spans="1:7" ht="15" customHeight="1" x14ac:dyDescent="0.25">
      <c r="A258" s="6" t="s">
        <v>39</v>
      </c>
      <c r="B258" s="10">
        <v>2037</v>
      </c>
      <c r="C258" s="7">
        <v>37.9848</v>
      </c>
      <c r="D258" s="7">
        <v>32.361499999999999</v>
      </c>
      <c r="E258" s="7">
        <v>44.5852</v>
      </c>
      <c r="F258" s="11">
        <f t="shared" si="3"/>
        <v>12.223700000000001</v>
      </c>
      <c r="G258" s="12">
        <f>Ocupados_Proy!$D$258</f>
        <v>5481724</v>
      </c>
    </row>
    <row r="259" spans="1:7" ht="15" customHeight="1" x14ac:dyDescent="0.25">
      <c r="A259" s="8" t="s">
        <v>40</v>
      </c>
      <c r="B259" s="13">
        <v>2037</v>
      </c>
      <c r="C259" s="9">
        <v>37.380499999999998</v>
      </c>
      <c r="D259" s="9">
        <v>30.526900000000001</v>
      </c>
      <c r="E259" s="9">
        <v>45.7729</v>
      </c>
      <c r="F259" s="14">
        <f t="shared" si="3"/>
        <v>15.245999999999999</v>
      </c>
      <c r="G259" s="15">
        <f>Ocupados_Proy!$D$259</f>
        <v>1680884</v>
      </c>
    </row>
    <row r="260" spans="1:7" ht="15" customHeight="1" x14ac:dyDescent="0.25">
      <c r="A260" s="6" t="s">
        <v>41</v>
      </c>
      <c r="B260" s="10">
        <v>2037</v>
      </c>
      <c r="C260" s="7">
        <v>44.783499999999997</v>
      </c>
      <c r="D260" s="7">
        <v>38.138300000000001</v>
      </c>
      <c r="E260" s="7">
        <v>52.586500000000001</v>
      </c>
      <c r="F260" s="11">
        <f t="shared" si="3"/>
        <v>14.4482</v>
      </c>
      <c r="G260" s="12">
        <f>Ocupados_Proy!$D$260</f>
        <v>1467069</v>
      </c>
    </row>
    <row r="261" spans="1:7" ht="15" customHeight="1" x14ac:dyDescent="0.25">
      <c r="A261" s="8" t="s">
        <v>42</v>
      </c>
      <c r="B261" s="13">
        <v>2037</v>
      </c>
      <c r="C261" s="9">
        <v>51.6693</v>
      </c>
      <c r="D261" s="9">
        <v>45.71</v>
      </c>
      <c r="E261" s="9">
        <v>58.405500000000004</v>
      </c>
      <c r="F261" s="14">
        <f t="shared" ref="F261:F324" si="4">E261-D261</f>
        <v>12.695500000000003</v>
      </c>
      <c r="G261" s="15">
        <f>Ocupados_Proy!$D$261</f>
        <v>826871</v>
      </c>
    </row>
    <row r="262" spans="1:7" ht="15" customHeight="1" x14ac:dyDescent="0.25">
      <c r="A262" s="6" t="s">
        <v>43</v>
      </c>
      <c r="B262" s="10">
        <v>2037</v>
      </c>
      <c r="C262" s="7">
        <v>56.713099999999997</v>
      </c>
      <c r="D262" s="7">
        <v>49.464100000000002</v>
      </c>
      <c r="E262" s="7">
        <v>65.024500000000003</v>
      </c>
      <c r="F262" s="11">
        <f t="shared" si="4"/>
        <v>15.560400000000001</v>
      </c>
      <c r="G262" s="12">
        <f>Ocupados_Proy!$D$262</f>
        <v>417285</v>
      </c>
    </row>
    <row r="263" spans="1:7" ht="15" customHeight="1" x14ac:dyDescent="0.25">
      <c r="A263" s="8" t="s">
        <v>44</v>
      </c>
      <c r="B263" s="13">
        <v>2037</v>
      </c>
      <c r="C263" s="9">
        <v>44.689300000000003</v>
      </c>
      <c r="D263" s="9">
        <v>38.2258</v>
      </c>
      <c r="E263" s="9">
        <v>52.245800000000003</v>
      </c>
      <c r="F263" s="14">
        <f t="shared" si="4"/>
        <v>14.020000000000003</v>
      </c>
      <c r="G263" s="15">
        <f>Ocupados_Proy!$D$263</f>
        <v>342515</v>
      </c>
    </row>
    <row r="264" spans="1:7" ht="15" customHeight="1" x14ac:dyDescent="0.25">
      <c r="A264" s="6" t="s">
        <v>45</v>
      </c>
      <c r="B264" s="10">
        <v>2037</v>
      </c>
      <c r="C264" s="7">
        <v>64.723399999999998</v>
      </c>
      <c r="D264" s="7">
        <v>59.233600000000003</v>
      </c>
      <c r="E264" s="7">
        <v>70.721999999999994</v>
      </c>
      <c r="F264" s="11">
        <f t="shared" si="4"/>
        <v>11.488399999999992</v>
      </c>
      <c r="G264" s="12">
        <f>Ocupados_Proy!$D$264</f>
        <v>289495</v>
      </c>
    </row>
    <row r="265" spans="1:7" ht="15" customHeight="1" x14ac:dyDescent="0.25">
      <c r="A265" s="8" t="s">
        <v>46</v>
      </c>
      <c r="B265" s="13">
        <v>2037</v>
      </c>
      <c r="C265" s="9">
        <v>52.803600000000003</v>
      </c>
      <c r="D265" s="9">
        <v>46.5383</v>
      </c>
      <c r="E265" s="9">
        <v>59.912399999999998</v>
      </c>
      <c r="F265" s="14">
        <f t="shared" si="4"/>
        <v>13.374099999999999</v>
      </c>
      <c r="G265" s="15">
        <f>Ocupados_Proy!$D$265</f>
        <v>322197</v>
      </c>
    </row>
    <row r="266" spans="1:7" ht="15" customHeight="1" x14ac:dyDescent="0.25">
      <c r="A266" s="6" t="s">
        <v>47</v>
      </c>
      <c r="B266" s="10">
        <v>2037</v>
      </c>
      <c r="C266" s="7">
        <v>64.852900000000005</v>
      </c>
      <c r="D266" s="7">
        <v>57.720199999999998</v>
      </c>
      <c r="E266" s="7">
        <v>72.867099999999994</v>
      </c>
      <c r="F266" s="11">
        <f t="shared" si="4"/>
        <v>15.146899999999995</v>
      </c>
      <c r="G266" s="12">
        <f>Ocupados_Proy!$D$266</f>
        <v>538238</v>
      </c>
    </row>
    <row r="267" spans="1:7" ht="15" customHeight="1" x14ac:dyDescent="0.25">
      <c r="A267" s="8" t="s">
        <v>48</v>
      </c>
      <c r="B267" s="13">
        <v>2037</v>
      </c>
      <c r="C267" s="9">
        <v>56.382599999999996</v>
      </c>
      <c r="D267" s="9">
        <v>50.601399999999998</v>
      </c>
      <c r="E267" s="9">
        <v>62.824300000000001</v>
      </c>
      <c r="F267" s="14">
        <f t="shared" si="4"/>
        <v>12.222900000000003</v>
      </c>
      <c r="G267" s="15">
        <f>Ocupados_Proy!$D$267</f>
        <v>389084</v>
      </c>
    </row>
    <row r="268" spans="1:7" ht="15" customHeight="1" x14ac:dyDescent="0.25">
      <c r="A268" s="6" t="s">
        <v>49</v>
      </c>
      <c r="B268" s="10">
        <v>2037</v>
      </c>
      <c r="C268" s="7">
        <v>69.636700000000005</v>
      </c>
      <c r="D268" s="7">
        <v>63.244799999999998</v>
      </c>
      <c r="E268" s="7">
        <v>76.674499999999995</v>
      </c>
      <c r="F268" s="11">
        <f t="shared" si="4"/>
        <v>13.429699999999997</v>
      </c>
      <c r="G268" s="12">
        <f>Ocupados_Proy!$D$268</f>
        <v>472769</v>
      </c>
    </row>
    <row r="269" spans="1:7" ht="15" customHeight="1" x14ac:dyDescent="0.25">
      <c r="A269" s="8" t="s">
        <v>50</v>
      </c>
      <c r="B269" s="13">
        <v>2037</v>
      </c>
      <c r="C269" s="9">
        <v>51.726799999999997</v>
      </c>
      <c r="D269" s="9">
        <v>45.980800000000002</v>
      </c>
      <c r="E269" s="9">
        <v>58.190899999999999</v>
      </c>
      <c r="F269" s="14">
        <f t="shared" si="4"/>
        <v>12.210099999999997</v>
      </c>
      <c r="G269" s="15">
        <f>Ocupados_Proy!$D$269</f>
        <v>667796</v>
      </c>
    </row>
    <row r="270" spans="1:7" ht="15" customHeight="1" x14ac:dyDescent="0.25">
      <c r="A270" s="6" t="s">
        <v>51</v>
      </c>
      <c r="B270" s="10">
        <v>2037</v>
      </c>
      <c r="C270" s="7">
        <v>56.842199999999998</v>
      </c>
      <c r="D270" s="7">
        <v>50.8977</v>
      </c>
      <c r="E270" s="7">
        <v>63.481000000000002</v>
      </c>
      <c r="F270" s="11">
        <f t="shared" si="4"/>
        <v>12.583300000000001</v>
      </c>
      <c r="G270" s="12">
        <f>Ocupados_Proy!$D$270</f>
        <v>438692</v>
      </c>
    </row>
    <row r="271" spans="1:7" ht="15" customHeight="1" x14ac:dyDescent="0.25">
      <c r="A271" s="8" t="s">
        <v>52</v>
      </c>
      <c r="B271" s="13">
        <v>2037</v>
      </c>
      <c r="C271" s="9">
        <v>56.846400000000003</v>
      </c>
      <c r="D271" s="9">
        <v>51.118099999999998</v>
      </c>
      <c r="E271" s="9">
        <v>63.2166</v>
      </c>
      <c r="F271" s="14">
        <f t="shared" si="4"/>
        <v>12.098500000000001</v>
      </c>
      <c r="G271" s="15">
        <f>Ocupados_Proy!$D$271</f>
        <v>153532</v>
      </c>
    </row>
    <row r="272" spans="1:7" ht="15" customHeight="1" x14ac:dyDescent="0.25">
      <c r="A272" s="6" t="s">
        <v>53</v>
      </c>
      <c r="B272" s="10">
        <v>2037</v>
      </c>
      <c r="C272" s="7">
        <v>71.001099999999994</v>
      </c>
      <c r="D272" s="7">
        <v>64.820499999999996</v>
      </c>
      <c r="E272" s="7">
        <v>77.771100000000004</v>
      </c>
      <c r="F272" s="11">
        <f t="shared" si="4"/>
        <v>12.950600000000009</v>
      </c>
      <c r="G272" s="12">
        <f>Ocupados_Proy!$D$272</f>
        <v>144531</v>
      </c>
    </row>
    <row r="273" spans="1:7" ht="15" customHeight="1" x14ac:dyDescent="0.25">
      <c r="A273" s="8" t="s">
        <v>54</v>
      </c>
      <c r="B273" s="13">
        <v>2037</v>
      </c>
      <c r="C273" s="9">
        <v>64.664000000000001</v>
      </c>
      <c r="D273" s="9">
        <v>58.746000000000002</v>
      </c>
      <c r="E273" s="9">
        <v>71.178200000000004</v>
      </c>
      <c r="F273" s="14">
        <f t="shared" si="4"/>
        <v>12.432200000000002</v>
      </c>
      <c r="G273" s="15">
        <f>Ocupados_Proy!$D$273</f>
        <v>267694</v>
      </c>
    </row>
    <row r="274" spans="1:7" ht="15" customHeight="1" x14ac:dyDescent="0.25">
      <c r="A274" s="6" t="s">
        <v>55</v>
      </c>
      <c r="B274" s="10">
        <v>2037</v>
      </c>
      <c r="C274" s="7">
        <v>63.127499999999998</v>
      </c>
      <c r="D274" s="7">
        <v>57.102200000000003</v>
      </c>
      <c r="E274" s="7">
        <v>69.788600000000002</v>
      </c>
      <c r="F274" s="11">
        <f t="shared" si="4"/>
        <v>12.686399999999999</v>
      </c>
      <c r="G274" s="12">
        <f>Ocupados_Proy!$D$274</f>
        <v>536987</v>
      </c>
    </row>
    <row r="275" spans="1:7" ht="15" customHeight="1" x14ac:dyDescent="0.25">
      <c r="A275" s="8" t="s">
        <v>56</v>
      </c>
      <c r="B275" s="13">
        <v>2037</v>
      </c>
      <c r="C275" s="9">
        <v>74.016800000000003</v>
      </c>
      <c r="D275" s="9">
        <v>67.822599999999994</v>
      </c>
      <c r="E275" s="9">
        <v>80.776700000000005</v>
      </c>
      <c r="F275" s="14">
        <f t="shared" si="4"/>
        <v>12.954100000000011</v>
      </c>
      <c r="G275" s="15">
        <f>Ocupados_Proy!$D$275</f>
        <v>109142</v>
      </c>
    </row>
    <row r="276" spans="1:7" ht="15" customHeight="1" x14ac:dyDescent="0.25">
      <c r="A276" s="6" t="s">
        <v>57</v>
      </c>
      <c r="B276" s="10">
        <v>2037</v>
      </c>
      <c r="C276" s="7">
        <v>60.585099999999997</v>
      </c>
      <c r="D276" s="7">
        <v>54.674700000000001</v>
      </c>
      <c r="E276" s="7">
        <v>67.134399999999999</v>
      </c>
      <c r="F276" s="11">
        <f t="shared" si="4"/>
        <v>12.459699999999998</v>
      </c>
      <c r="G276" s="12">
        <f>Ocupados_Proy!$D$276</f>
        <v>318934</v>
      </c>
    </row>
    <row r="277" spans="1:7" ht="15" customHeight="1" x14ac:dyDescent="0.25">
      <c r="A277" s="8" t="s">
        <v>58</v>
      </c>
      <c r="B277" s="13">
        <v>2037</v>
      </c>
      <c r="C277" s="9">
        <v>68.803200000000004</v>
      </c>
      <c r="D277" s="9">
        <v>62.708500000000001</v>
      </c>
      <c r="E277" s="9">
        <v>75.490300000000005</v>
      </c>
      <c r="F277" s="14">
        <f t="shared" si="4"/>
        <v>12.781800000000004</v>
      </c>
      <c r="G277" s="15">
        <f>Ocupados_Proy!$D$277</f>
        <v>148494</v>
      </c>
    </row>
    <row r="278" spans="1:7" ht="15" customHeight="1" x14ac:dyDescent="0.25">
      <c r="A278" s="6" t="s">
        <v>59</v>
      </c>
      <c r="B278" s="10">
        <v>2037</v>
      </c>
      <c r="C278" s="7">
        <v>54.2789</v>
      </c>
      <c r="D278" s="7">
        <v>48.430599999999998</v>
      </c>
      <c r="E278" s="7">
        <v>60.833399999999997</v>
      </c>
      <c r="F278" s="11">
        <f t="shared" si="4"/>
        <v>12.402799999999999</v>
      </c>
      <c r="G278" s="12">
        <f>Ocupados_Proy!$D$278</f>
        <v>452915</v>
      </c>
    </row>
    <row r="279" spans="1:7" ht="15" customHeight="1" x14ac:dyDescent="0.25">
      <c r="A279" s="8" t="s">
        <v>60</v>
      </c>
      <c r="B279" s="13">
        <v>2037</v>
      </c>
      <c r="C279" s="9">
        <v>50.4572</v>
      </c>
      <c r="D279" s="9">
        <v>44.603299999999997</v>
      </c>
      <c r="E279" s="9">
        <v>57.079300000000003</v>
      </c>
      <c r="F279" s="14">
        <f t="shared" si="4"/>
        <v>12.476000000000006</v>
      </c>
      <c r="G279" s="15">
        <f>Ocupados_Proy!$D$279</f>
        <v>203125</v>
      </c>
    </row>
    <row r="280" spans="1:7" ht="15" customHeight="1" x14ac:dyDescent="0.25">
      <c r="A280" s="6" t="s">
        <v>61</v>
      </c>
      <c r="B280" s="10">
        <v>2037</v>
      </c>
      <c r="C280" s="7">
        <v>63.780099999999997</v>
      </c>
      <c r="D280" s="7">
        <v>57.7181</v>
      </c>
      <c r="E280" s="7">
        <v>70.478800000000007</v>
      </c>
      <c r="F280" s="11">
        <f t="shared" si="4"/>
        <v>12.760700000000007</v>
      </c>
      <c r="G280" s="12">
        <f>Ocupados_Proy!$D$280</f>
        <v>262334</v>
      </c>
    </row>
    <row r="281" spans="1:7" ht="15" customHeight="1" x14ac:dyDescent="0.25">
      <c r="A281" s="6" t="s">
        <v>39</v>
      </c>
      <c r="B281" s="10">
        <v>2038</v>
      </c>
      <c r="C281" s="7">
        <v>37.689100000000003</v>
      </c>
      <c r="D281" s="7">
        <v>31.916</v>
      </c>
      <c r="E281" s="7">
        <v>44.506599999999999</v>
      </c>
      <c r="F281" s="11">
        <f t="shared" si="4"/>
        <v>12.590599999999998</v>
      </c>
      <c r="G281" s="12">
        <f>Ocupados_Proy!$D$281</f>
        <v>5448826</v>
      </c>
    </row>
    <row r="282" spans="1:7" ht="15" customHeight="1" x14ac:dyDescent="0.25">
      <c r="A282" s="8" t="s">
        <v>40</v>
      </c>
      <c r="B282" s="13">
        <v>2038</v>
      </c>
      <c r="C282" s="9">
        <v>37.013100000000001</v>
      </c>
      <c r="D282" s="9">
        <v>29.996600000000001</v>
      </c>
      <c r="E282" s="9">
        <v>45.6708</v>
      </c>
      <c r="F282" s="14">
        <f t="shared" si="4"/>
        <v>15.674199999999999</v>
      </c>
      <c r="G282" s="15">
        <f>Ocupados_Proy!$D$282</f>
        <v>1671114</v>
      </c>
    </row>
    <row r="283" spans="1:7" ht="15" customHeight="1" x14ac:dyDescent="0.25">
      <c r="A283" s="6" t="s">
        <v>41</v>
      </c>
      <c r="B283" s="10">
        <v>2038</v>
      </c>
      <c r="C283" s="7">
        <v>44.433999999999997</v>
      </c>
      <c r="D283" s="7">
        <v>37.611899999999999</v>
      </c>
      <c r="E283" s="7">
        <v>52.493499999999997</v>
      </c>
      <c r="F283" s="11">
        <f t="shared" si="4"/>
        <v>14.881599999999999</v>
      </c>
      <c r="G283" s="12">
        <f>Ocupados_Proy!$D$283</f>
        <v>1455713</v>
      </c>
    </row>
    <row r="284" spans="1:7" ht="15" customHeight="1" x14ac:dyDescent="0.25">
      <c r="A284" s="8" t="s">
        <v>42</v>
      </c>
      <c r="B284" s="13">
        <v>2038</v>
      </c>
      <c r="C284" s="9">
        <v>51.361400000000003</v>
      </c>
      <c r="D284" s="9">
        <v>45.228000000000002</v>
      </c>
      <c r="E284" s="9">
        <v>58.326700000000002</v>
      </c>
      <c r="F284" s="14">
        <f t="shared" si="4"/>
        <v>13.098700000000001</v>
      </c>
      <c r="G284" s="15">
        <f>Ocupados_Proy!$D$284</f>
        <v>824491</v>
      </c>
    </row>
    <row r="285" spans="1:7" ht="15" customHeight="1" x14ac:dyDescent="0.25">
      <c r="A285" s="6" t="s">
        <v>43</v>
      </c>
      <c r="B285" s="10">
        <v>2038</v>
      </c>
      <c r="C285" s="7">
        <v>56.336100000000002</v>
      </c>
      <c r="D285" s="7">
        <v>48.882199999999997</v>
      </c>
      <c r="E285" s="7">
        <v>64.926500000000004</v>
      </c>
      <c r="F285" s="11">
        <f t="shared" si="4"/>
        <v>16.044300000000007</v>
      </c>
      <c r="G285" s="12">
        <f>Ocupados_Proy!$D$285</f>
        <v>416045</v>
      </c>
    </row>
    <row r="286" spans="1:7" ht="15" customHeight="1" x14ac:dyDescent="0.25">
      <c r="A286" s="8" t="s">
        <v>44</v>
      </c>
      <c r="B286" s="13">
        <v>2038</v>
      </c>
      <c r="C286" s="9">
        <v>44.350099999999998</v>
      </c>
      <c r="D286" s="9">
        <v>37.712499999999999</v>
      </c>
      <c r="E286" s="9">
        <v>52.155900000000003</v>
      </c>
      <c r="F286" s="14">
        <f t="shared" si="4"/>
        <v>14.443400000000004</v>
      </c>
      <c r="G286" s="15">
        <f>Ocupados_Proy!$D$286</f>
        <v>343467</v>
      </c>
    </row>
    <row r="287" spans="1:7" ht="15" customHeight="1" x14ac:dyDescent="0.25">
      <c r="A287" s="6" t="s">
        <v>45</v>
      </c>
      <c r="B287" s="10">
        <v>2038</v>
      </c>
      <c r="C287" s="7">
        <v>64.444199999999995</v>
      </c>
      <c r="D287" s="7">
        <v>58.781100000000002</v>
      </c>
      <c r="E287" s="7">
        <v>70.652900000000002</v>
      </c>
      <c r="F287" s="11">
        <f t="shared" si="4"/>
        <v>11.8718</v>
      </c>
      <c r="G287" s="12">
        <f>Ocupados_Proy!$D$287</f>
        <v>288911</v>
      </c>
    </row>
    <row r="288" spans="1:7" ht="15" customHeight="1" x14ac:dyDescent="0.25">
      <c r="A288" s="8" t="s">
        <v>46</v>
      </c>
      <c r="B288" s="13">
        <v>2038</v>
      </c>
      <c r="C288" s="9">
        <v>52.479300000000002</v>
      </c>
      <c r="D288" s="9">
        <v>46.032499999999999</v>
      </c>
      <c r="E288" s="9">
        <v>59.829099999999997</v>
      </c>
      <c r="F288" s="14">
        <f t="shared" si="4"/>
        <v>13.796599999999998</v>
      </c>
      <c r="G288" s="15">
        <f>Ocupados_Proy!$D$288</f>
        <v>320917</v>
      </c>
    </row>
    <row r="289" spans="1:7" ht="15" customHeight="1" x14ac:dyDescent="0.25">
      <c r="A289" s="6" t="s">
        <v>47</v>
      </c>
      <c r="B289" s="10">
        <v>2038</v>
      </c>
      <c r="C289" s="7">
        <v>64.485500000000002</v>
      </c>
      <c r="D289" s="7">
        <v>57.141300000000001</v>
      </c>
      <c r="E289" s="7">
        <v>72.773600000000002</v>
      </c>
      <c r="F289" s="11">
        <f t="shared" si="4"/>
        <v>15.632300000000001</v>
      </c>
      <c r="G289" s="12">
        <f>Ocupados_Proy!$D$289</f>
        <v>536383</v>
      </c>
    </row>
    <row r="290" spans="1:7" ht="15" customHeight="1" x14ac:dyDescent="0.25">
      <c r="A290" s="8" t="s">
        <v>48</v>
      </c>
      <c r="B290" s="13">
        <v>2038</v>
      </c>
      <c r="C290" s="9">
        <v>56.085900000000002</v>
      </c>
      <c r="D290" s="9">
        <v>50.129899999999999</v>
      </c>
      <c r="E290" s="9">
        <v>62.749499999999998</v>
      </c>
      <c r="F290" s="14">
        <f t="shared" si="4"/>
        <v>12.619599999999998</v>
      </c>
      <c r="G290" s="15">
        <f>Ocupados_Proy!$D$290</f>
        <v>389762</v>
      </c>
    </row>
    <row r="291" spans="1:7" ht="15" customHeight="1" x14ac:dyDescent="0.25">
      <c r="A291" s="6" t="s">
        <v>49</v>
      </c>
      <c r="B291" s="10">
        <v>2038</v>
      </c>
      <c r="C291" s="7">
        <v>69.310400000000001</v>
      </c>
      <c r="D291" s="7">
        <v>62.720199999999998</v>
      </c>
      <c r="E291" s="7">
        <v>76.593199999999996</v>
      </c>
      <c r="F291" s="11">
        <f t="shared" si="4"/>
        <v>13.872999999999998</v>
      </c>
      <c r="G291" s="12">
        <f>Ocupados_Proy!$D$291</f>
        <v>479781</v>
      </c>
    </row>
    <row r="292" spans="1:7" ht="15" customHeight="1" x14ac:dyDescent="0.25">
      <c r="A292" s="8" t="s">
        <v>50</v>
      </c>
      <c r="B292" s="13">
        <v>2038</v>
      </c>
      <c r="C292" s="9">
        <v>51.430599999999998</v>
      </c>
      <c r="D292" s="9">
        <v>45.514699999999998</v>
      </c>
      <c r="E292" s="9">
        <v>58.115400000000001</v>
      </c>
      <c r="F292" s="14">
        <f t="shared" si="4"/>
        <v>12.600700000000003</v>
      </c>
      <c r="G292" s="15">
        <f>Ocupados_Proy!$D$292</f>
        <v>667022</v>
      </c>
    </row>
    <row r="293" spans="1:7" ht="15" customHeight="1" x14ac:dyDescent="0.25">
      <c r="A293" s="6" t="s">
        <v>51</v>
      </c>
      <c r="B293" s="10">
        <v>2038</v>
      </c>
      <c r="C293" s="7">
        <v>56.536799999999999</v>
      </c>
      <c r="D293" s="7">
        <v>50.413600000000002</v>
      </c>
      <c r="E293" s="7">
        <v>63.403799999999997</v>
      </c>
      <c r="F293" s="11">
        <f t="shared" si="4"/>
        <v>12.990199999999994</v>
      </c>
      <c r="G293" s="12">
        <f>Ocupados_Proy!$D$293</f>
        <v>440795</v>
      </c>
    </row>
    <row r="294" spans="1:7" ht="15" customHeight="1" x14ac:dyDescent="0.25">
      <c r="A294" s="8" t="s">
        <v>52</v>
      </c>
      <c r="B294" s="13">
        <v>2038</v>
      </c>
      <c r="C294" s="9">
        <v>56.552700000000002</v>
      </c>
      <c r="D294" s="9">
        <v>50.650500000000001</v>
      </c>
      <c r="E294" s="9">
        <v>63.142699999999998</v>
      </c>
      <c r="F294" s="14">
        <f t="shared" si="4"/>
        <v>12.492199999999997</v>
      </c>
      <c r="G294" s="15">
        <f>Ocupados_Proy!$D$294</f>
        <v>155473</v>
      </c>
    </row>
    <row r="295" spans="1:7" ht="15" customHeight="1" x14ac:dyDescent="0.25">
      <c r="A295" s="6" t="s">
        <v>53</v>
      </c>
      <c r="B295" s="10">
        <v>2038</v>
      </c>
      <c r="C295" s="7">
        <v>70.686499999999995</v>
      </c>
      <c r="D295" s="7">
        <v>64.311700000000002</v>
      </c>
      <c r="E295" s="7">
        <v>77.693100000000001</v>
      </c>
      <c r="F295" s="11">
        <f t="shared" si="4"/>
        <v>13.381399999999999</v>
      </c>
      <c r="G295" s="12">
        <f>Ocupados_Proy!$D$295</f>
        <v>145527</v>
      </c>
    </row>
    <row r="296" spans="1:7" ht="15" customHeight="1" x14ac:dyDescent="0.25">
      <c r="A296" s="8" t="s">
        <v>54</v>
      </c>
      <c r="B296" s="13">
        <v>2038</v>
      </c>
      <c r="C296" s="9">
        <v>64.361999999999995</v>
      </c>
      <c r="D296" s="9">
        <v>58.260100000000001</v>
      </c>
      <c r="E296" s="9">
        <v>71.102900000000005</v>
      </c>
      <c r="F296" s="14">
        <f t="shared" si="4"/>
        <v>12.842800000000004</v>
      </c>
      <c r="G296" s="15">
        <f>Ocupados_Proy!$D$296</f>
        <v>268824</v>
      </c>
    </row>
    <row r="297" spans="1:7" ht="15" customHeight="1" x14ac:dyDescent="0.25">
      <c r="A297" s="6" t="s">
        <v>55</v>
      </c>
      <c r="B297" s="10">
        <v>2038</v>
      </c>
      <c r="C297" s="7">
        <v>62.819400000000002</v>
      </c>
      <c r="D297" s="7">
        <v>56.608800000000002</v>
      </c>
      <c r="E297" s="7">
        <v>69.711399999999998</v>
      </c>
      <c r="F297" s="11">
        <f t="shared" si="4"/>
        <v>13.102599999999995</v>
      </c>
      <c r="G297" s="12">
        <f>Ocupados_Proy!$D$297</f>
        <v>546778</v>
      </c>
    </row>
    <row r="298" spans="1:7" ht="15" customHeight="1" x14ac:dyDescent="0.25">
      <c r="A298" s="8" t="s">
        <v>56</v>
      </c>
      <c r="B298" s="13">
        <v>2038</v>
      </c>
      <c r="C298" s="9">
        <v>73.701999999999998</v>
      </c>
      <c r="D298" s="9">
        <v>67.311700000000002</v>
      </c>
      <c r="E298" s="9">
        <v>80.698899999999995</v>
      </c>
      <c r="F298" s="14">
        <f t="shared" si="4"/>
        <v>13.387199999999993</v>
      </c>
      <c r="G298" s="15">
        <f>Ocupados_Proy!$D$298</f>
        <v>110160</v>
      </c>
    </row>
    <row r="299" spans="1:7" ht="15" customHeight="1" x14ac:dyDescent="0.25">
      <c r="A299" s="6" t="s">
        <v>57</v>
      </c>
      <c r="B299" s="10">
        <v>2038</v>
      </c>
      <c r="C299" s="7">
        <v>60.282499999999999</v>
      </c>
      <c r="D299" s="7">
        <v>54.191200000000002</v>
      </c>
      <c r="E299" s="7">
        <v>67.058499999999995</v>
      </c>
      <c r="F299" s="11">
        <f t="shared" si="4"/>
        <v>12.867299999999993</v>
      </c>
      <c r="G299" s="12">
        <f>Ocupados_Proy!$D$299</f>
        <v>322192</v>
      </c>
    </row>
    <row r="300" spans="1:7" ht="15" customHeight="1" x14ac:dyDescent="0.25">
      <c r="A300" s="8" t="s">
        <v>58</v>
      </c>
      <c r="B300" s="13">
        <v>2038</v>
      </c>
      <c r="C300" s="9">
        <v>68.492699999999999</v>
      </c>
      <c r="D300" s="9">
        <v>62.207299999999996</v>
      </c>
      <c r="E300" s="9">
        <v>75.4131</v>
      </c>
      <c r="F300" s="14">
        <f t="shared" si="4"/>
        <v>13.205800000000004</v>
      </c>
      <c r="G300" s="15">
        <f>Ocupados_Proy!$D$300</f>
        <v>148879</v>
      </c>
    </row>
    <row r="301" spans="1:7" ht="15" customHeight="1" x14ac:dyDescent="0.25">
      <c r="A301" s="6" t="s">
        <v>59</v>
      </c>
      <c r="B301" s="10">
        <v>2038</v>
      </c>
      <c r="C301" s="7">
        <v>53.978000000000002</v>
      </c>
      <c r="D301" s="7">
        <v>47.955300000000001</v>
      </c>
      <c r="E301" s="7">
        <v>60.756999999999998</v>
      </c>
      <c r="F301" s="11">
        <f t="shared" si="4"/>
        <v>12.801699999999997</v>
      </c>
      <c r="G301" s="12">
        <f>Ocupados_Proy!$D$301</f>
        <v>456077</v>
      </c>
    </row>
    <row r="302" spans="1:7" ht="15" customHeight="1" x14ac:dyDescent="0.25">
      <c r="A302" s="8" t="s">
        <v>60</v>
      </c>
      <c r="B302" s="13">
        <v>2038</v>
      </c>
      <c r="C302" s="9">
        <v>50.154600000000002</v>
      </c>
      <c r="D302" s="9">
        <v>44.13</v>
      </c>
      <c r="E302" s="9">
        <v>57.001800000000003</v>
      </c>
      <c r="F302" s="14">
        <f t="shared" si="4"/>
        <v>12.8718</v>
      </c>
      <c r="G302" s="15">
        <f>Ocupados_Proy!$D$302</f>
        <v>202453</v>
      </c>
    </row>
    <row r="303" spans="1:7" ht="15" customHeight="1" x14ac:dyDescent="0.25">
      <c r="A303" s="6" t="s">
        <v>61</v>
      </c>
      <c r="B303" s="10">
        <v>2038</v>
      </c>
      <c r="C303" s="7">
        <v>63.470199999999998</v>
      </c>
      <c r="D303" s="7">
        <v>57.221499999999999</v>
      </c>
      <c r="E303" s="7">
        <v>70.401300000000006</v>
      </c>
      <c r="F303" s="11">
        <f t="shared" si="4"/>
        <v>13.179800000000007</v>
      </c>
      <c r="G303" s="12">
        <f>Ocupados_Proy!$D$303</f>
        <v>265409</v>
      </c>
    </row>
    <row r="304" spans="1:7" ht="15" customHeight="1" x14ac:dyDescent="0.25">
      <c r="A304" s="6" t="s">
        <v>39</v>
      </c>
      <c r="B304" s="10">
        <v>2039</v>
      </c>
      <c r="C304" s="7">
        <v>37.395800000000001</v>
      </c>
      <c r="D304" s="7">
        <v>31.4833</v>
      </c>
      <c r="E304" s="7">
        <v>44.418599999999998</v>
      </c>
      <c r="F304" s="11">
        <f t="shared" si="4"/>
        <v>12.935299999999998</v>
      </c>
      <c r="G304" s="12">
        <f>Ocupados_Proy!$D$304</f>
        <v>5413420</v>
      </c>
    </row>
    <row r="305" spans="1:7" ht="15" customHeight="1" x14ac:dyDescent="0.25">
      <c r="A305" s="8" t="s">
        <v>40</v>
      </c>
      <c r="B305" s="13">
        <v>2039</v>
      </c>
      <c r="C305" s="9">
        <v>36.649299999999997</v>
      </c>
      <c r="D305" s="9">
        <v>29.4834</v>
      </c>
      <c r="E305" s="9">
        <v>45.556800000000003</v>
      </c>
      <c r="F305" s="14">
        <f t="shared" si="4"/>
        <v>16.073400000000003</v>
      </c>
      <c r="G305" s="15">
        <f>Ocupados_Proy!$D$305</f>
        <v>1660801</v>
      </c>
    </row>
    <row r="306" spans="1:7" ht="15" customHeight="1" x14ac:dyDescent="0.25">
      <c r="A306" s="6" t="s">
        <v>41</v>
      </c>
      <c r="B306" s="10">
        <v>2039</v>
      </c>
      <c r="C306" s="7">
        <v>44.087299999999999</v>
      </c>
      <c r="D306" s="7">
        <v>37.1008</v>
      </c>
      <c r="E306" s="7">
        <v>52.389400000000002</v>
      </c>
      <c r="F306" s="11">
        <f t="shared" si="4"/>
        <v>15.288600000000002</v>
      </c>
      <c r="G306" s="12">
        <f>Ocupados_Proy!$D$306</f>
        <v>1444027</v>
      </c>
    </row>
    <row r="307" spans="1:7" ht="15" customHeight="1" x14ac:dyDescent="0.25">
      <c r="A307" s="8" t="s">
        <v>42</v>
      </c>
      <c r="B307" s="13">
        <v>2039</v>
      </c>
      <c r="C307" s="9">
        <v>51.055399999999999</v>
      </c>
      <c r="D307" s="9">
        <v>44.758200000000002</v>
      </c>
      <c r="E307" s="9">
        <v>58.238500000000002</v>
      </c>
      <c r="F307" s="14">
        <f t="shared" si="4"/>
        <v>13.4803</v>
      </c>
      <c r="G307" s="15">
        <f>Ocupados_Proy!$D$307</f>
        <v>821730</v>
      </c>
    </row>
    <row r="308" spans="1:7" ht="15" customHeight="1" x14ac:dyDescent="0.25">
      <c r="A308" s="6" t="s">
        <v>43</v>
      </c>
      <c r="B308" s="10">
        <v>2039</v>
      </c>
      <c r="C308" s="7">
        <v>55.961599999999997</v>
      </c>
      <c r="D308" s="7">
        <v>48.316000000000003</v>
      </c>
      <c r="E308" s="7">
        <v>64.816999999999993</v>
      </c>
      <c r="F308" s="11">
        <f t="shared" si="4"/>
        <v>16.500999999999991</v>
      </c>
      <c r="G308" s="12">
        <f>Ocupados_Proy!$D$308</f>
        <v>414691</v>
      </c>
    </row>
    <row r="309" spans="1:7" ht="15" customHeight="1" x14ac:dyDescent="0.25">
      <c r="A309" s="8" t="s">
        <v>44</v>
      </c>
      <c r="B309" s="13">
        <v>2039</v>
      </c>
      <c r="C309" s="9">
        <v>44.013500000000001</v>
      </c>
      <c r="D309" s="9">
        <v>37.213900000000002</v>
      </c>
      <c r="E309" s="9">
        <v>52.055399999999999</v>
      </c>
      <c r="F309" s="14">
        <f t="shared" si="4"/>
        <v>14.841499999999996</v>
      </c>
      <c r="G309" s="15">
        <f>Ocupados_Proy!$D$309</f>
        <v>344303</v>
      </c>
    </row>
    <row r="310" spans="1:7" ht="15" customHeight="1" x14ac:dyDescent="0.25">
      <c r="A310" s="6" t="s">
        <v>45</v>
      </c>
      <c r="B310" s="10">
        <v>2039</v>
      </c>
      <c r="C310" s="7">
        <v>64.166200000000003</v>
      </c>
      <c r="D310" s="7">
        <v>58.338900000000002</v>
      </c>
      <c r="E310" s="7">
        <v>70.575599999999994</v>
      </c>
      <c r="F310" s="11">
        <f t="shared" si="4"/>
        <v>12.236699999999992</v>
      </c>
      <c r="G310" s="12">
        <f>Ocupados_Proy!$D$310</f>
        <v>288232</v>
      </c>
    </row>
    <row r="311" spans="1:7" ht="15" customHeight="1" x14ac:dyDescent="0.25">
      <c r="A311" s="8" t="s">
        <v>46</v>
      </c>
      <c r="B311" s="13">
        <v>2039</v>
      </c>
      <c r="C311" s="9">
        <v>52.1571</v>
      </c>
      <c r="D311" s="9">
        <v>45.5398</v>
      </c>
      <c r="E311" s="9">
        <v>59.735799999999998</v>
      </c>
      <c r="F311" s="14">
        <f t="shared" si="4"/>
        <v>14.195999999999998</v>
      </c>
      <c r="G311" s="15">
        <f>Ocupados_Proy!$D$311</f>
        <v>319526</v>
      </c>
    </row>
    <row r="312" spans="1:7" ht="15" customHeight="1" x14ac:dyDescent="0.25">
      <c r="A312" s="6" t="s">
        <v>47</v>
      </c>
      <c r="B312" s="10">
        <v>2039</v>
      </c>
      <c r="C312" s="7">
        <v>64.120099999999994</v>
      </c>
      <c r="D312" s="7">
        <v>56.576900000000002</v>
      </c>
      <c r="E312" s="7">
        <v>72.668899999999994</v>
      </c>
      <c r="F312" s="11">
        <f t="shared" si="4"/>
        <v>16.091999999999992</v>
      </c>
      <c r="G312" s="12">
        <f>Ocupados_Proy!$D$312</f>
        <v>534469</v>
      </c>
    </row>
    <row r="313" spans="1:7" ht="15" customHeight="1" x14ac:dyDescent="0.25">
      <c r="A313" s="8" t="s">
        <v>48</v>
      </c>
      <c r="B313" s="13">
        <v>2039</v>
      </c>
      <c r="C313" s="9">
        <v>55.790700000000001</v>
      </c>
      <c r="D313" s="9">
        <v>49.67</v>
      </c>
      <c r="E313" s="9">
        <v>62.665700000000001</v>
      </c>
      <c r="F313" s="14">
        <f t="shared" si="4"/>
        <v>12.995699999999999</v>
      </c>
      <c r="G313" s="15">
        <f>Ocupados_Proy!$D$313</f>
        <v>390317</v>
      </c>
    </row>
    <row r="314" spans="1:7" ht="15" customHeight="1" x14ac:dyDescent="0.25">
      <c r="A314" s="6" t="s">
        <v>49</v>
      </c>
      <c r="B314" s="10">
        <v>2039</v>
      </c>
      <c r="C314" s="7">
        <v>68.985699999999994</v>
      </c>
      <c r="D314" s="7">
        <v>62.207799999999999</v>
      </c>
      <c r="E314" s="7">
        <v>76.502200000000002</v>
      </c>
      <c r="F314" s="11">
        <f t="shared" si="4"/>
        <v>14.294400000000003</v>
      </c>
      <c r="G314" s="12">
        <f>Ocupados_Proy!$D$314</f>
        <v>486685</v>
      </c>
    </row>
    <row r="315" spans="1:7" ht="15" customHeight="1" x14ac:dyDescent="0.25">
      <c r="A315" s="8" t="s">
        <v>50</v>
      </c>
      <c r="B315" s="13">
        <v>2039</v>
      </c>
      <c r="C315" s="9">
        <v>51.136099999999999</v>
      </c>
      <c r="D315" s="9">
        <v>45.060400000000001</v>
      </c>
      <c r="E315" s="9">
        <v>58.030999999999999</v>
      </c>
      <c r="F315" s="14">
        <f t="shared" si="4"/>
        <v>12.970599999999997</v>
      </c>
      <c r="G315" s="15">
        <f>Ocupados_Proy!$D$315</f>
        <v>666066</v>
      </c>
    </row>
    <row r="316" spans="1:7" ht="15" customHeight="1" x14ac:dyDescent="0.25">
      <c r="A316" s="6" t="s">
        <v>51</v>
      </c>
      <c r="B316" s="10">
        <v>2039</v>
      </c>
      <c r="C316" s="7">
        <v>56.232999999999997</v>
      </c>
      <c r="D316" s="7">
        <v>49.941400000000002</v>
      </c>
      <c r="E316" s="7">
        <v>63.317399999999999</v>
      </c>
      <c r="F316" s="11">
        <f t="shared" si="4"/>
        <v>13.375999999999998</v>
      </c>
      <c r="G316" s="12">
        <f>Ocupados_Proy!$D$316</f>
        <v>442827</v>
      </c>
    </row>
    <row r="317" spans="1:7" ht="15" customHeight="1" x14ac:dyDescent="0.25">
      <c r="A317" s="8" t="s">
        <v>52</v>
      </c>
      <c r="B317" s="13">
        <v>2039</v>
      </c>
      <c r="C317" s="9">
        <v>56.2605</v>
      </c>
      <c r="D317" s="9">
        <v>50.194299999999998</v>
      </c>
      <c r="E317" s="9">
        <v>63.059899999999999</v>
      </c>
      <c r="F317" s="14">
        <f t="shared" si="4"/>
        <v>12.865600000000001</v>
      </c>
      <c r="G317" s="15">
        <f>Ocupados_Proy!$D$317</f>
        <v>157330</v>
      </c>
    </row>
    <row r="318" spans="1:7" ht="15" customHeight="1" x14ac:dyDescent="0.25">
      <c r="A318" s="6" t="s">
        <v>53</v>
      </c>
      <c r="B318" s="10">
        <v>2039</v>
      </c>
      <c r="C318" s="7">
        <v>70.373199999999997</v>
      </c>
      <c r="D318" s="7">
        <v>63.814599999999999</v>
      </c>
      <c r="E318" s="7">
        <v>77.605800000000002</v>
      </c>
      <c r="F318" s="11">
        <f t="shared" si="4"/>
        <v>13.791200000000003</v>
      </c>
      <c r="G318" s="12">
        <f>Ocupados_Proy!$D$318</f>
        <v>146484</v>
      </c>
    </row>
    <row r="319" spans="1:7" ht="15" customHeight="1" x14ac:dyDescent="0.25">
      <c r="A319" s="8" t="s">
        <v>54</v>
      </c>
      <c r="B319" s="13">
        <v>2039</v>
      </c>
      <c r="C319" s="9">
        <v>64.061400000000006</v>
      </c>
      <c r="D319" s="9">
        <v>57.785699999999999</v>
      </c>
      <c r="E319" s="9">
        <v>71.018699999999995</v>
      </c>
      <c r="F319" s="14">
        <f t="shared" si="4"/>
        <v>13.232999999999997</v>
      </c>
      <c r="G319" s="15">
        <f>Ocupados_Proy!$D$319</f>
        <v>269834</v>
      </c>
    </row>
    <row r="320" spans="1:7" ht="15" customHeight="1" x14ac:dyDescent="0.25">
      <c r="A320" s="6" t="s">
        <v>55</v>
      </c>
      <c r="B320" s="10">
        <v>2039</v>
      </c>
      <c r="C320" s="7">
        <v>62.512799999999999</v>
      </c>
      <c r="D320" s="7">
        <v>56.127000000000002</v>
      </c>
      <c r="E320" s="7">
        <v>69.625100000000003</v>
      </c>
      <c r="F320" s="11">
        <f t="shared" si="4"/>
        <v>13.498100000000001</v>
      </c>
      <c r="G320" s="12">
        <f>Ocupados_Proy!$D$320</f>
        <v>556447</v>
      </c>
    </row>
    <row r="321" spans="1:7" ht="15" customHeight="1" x14ac:dyDescent="0.25">
      <c r="A321" s="8" t="s">
        <v>56</v>
      </c>
      <c r="B321" s="13">
        <v>2039</v>
      </c>
      <c r="C321" s="9">
        <v>73.388499999999993</v>
      </c>
      <c r="D321" s="9">
        <v>66.812399999999997</v>
      </c>
      <c r="E321" s="9">
        <v>80.611900000000006</v>
      </c>
      <c r="F321" s="14">
        <f t="shared" si="4"/>
        <v>13.799500000000009</v>
      </c>
      <c r="G321" s="15">
        <f>Ocupados_Proy!$D$321</f>
        <v>111158</v>
      </c>
    </row>
    <row r="322" spans="1:7" ht="15" customHeight="1" x14ac:dyDescent="0.25">
      <c r="A322" s="6" t="s">
        <v>57</v>
      </c>
      <c r="B322" s="10">
        <v>2039</v>
      </c>
      <c r="C322" s="7">
        <v>59.981499999999997</v>
      </c>
      <c r="D322" s="7">
        <v>53.7194</v>
      </c>
      <c r="E322" s="7">
        <v>66.973600000000005</v>
      </c>
      <c r="F322" s="11">
        <f t="shared" si="4"/>
        <v>13.254200000000004</v>
      </c>
      <c r="G322" s="12">
        <f>Ocupados_Proy!$D$322</f>
        <v>325308</v>
      </c>
    </row>
    <row r="323" spans="1:7" ht="15" customHeight="1" x14ac:dyDescent="0.25">
      <c r="A323" s="8" t="s">
        <v>58</v>
      </c>
      <c r="B323" s="13">
        <v>2039</v>
      </c>
      <c r="C323" s="9">
        <v>68.183499999999995</v>
      </c>
      <c r="D323" s="9">
        <v>61.717599999999997</v>
      </c>
      <c r="E323" s="9">
        <v>75.326800000000006</v>
      </c>
      <c r="F323" s="14">
        <f t="shared" si="4"/>
        <v>13.609200000000008</v>
      </c>
      <c r="G323" s="15">
        <f>Ocupados_Proy!$D$323</f>
        <v>149205</v>
      </c>
    </row>
    <row r="324" spans="1:7" ht="15" customHeight="1" x14ac:dyDescent="0.25">
      <c r="A324" s="6" t="s">
        <v>59</v>
      </c>
      <c r="B324" s="10">
        <v>2039</v>
      </c>
      <c r="C324" s="7">
        <v>53.678699999999999</v>
      </c>
      <c r="D324" s="7">
        <v>47.491799999999998</v>
      </c>
      <c r="E324" s="7">
        <v>60.671500000000002</v>
      </c>
      <c r="F324" s="11">
        <f t="shared" si="4"/>
        <v>13.179700000000004</v>
      </c>
      <c r="G324" s="12">
        <f>Ocupados_Proy!$D$324</f>
        <v>459068</v>
      </c>
    </row>
    <row r="325" spans="1:7" ht="15" customHeight="1" x14ac:dyDescent="0.25">
      <c r="A325" s="8" t="s">
        <v>60</v>
      </c>
      <c r="B325" s="13">
        <v>2039</v>
      </c>
      <c r="C325" s="9">
        <v>49.853900000000003</v>
      </c>
      <c r="D325" s="9">
        <v>43.668799999999997</v>
      </c>
      <c r="E325" s="9">
        <v>56.914999999999999</v>
      </c>
      <c r="F325" s="14">
        <f t="shared" ref="F325:F388" si="5">E325-D325</f>
        <v>13.246200000000002</v>
      </c>
      <c r="G325" s="15">
        <f>Ocupados_Proy!$D$325</f>
        <v>201736</v>
      </c>
    </row>
    <row r="326" spans="1:7" ht="15" customHeight="1" x14ac:dyDescent="0.25">
      <c r="A326" s="6" t="s">
        <v>61</v>
      </c>
      <c r="B326" s="10">
        <v>2039</v>
      </c>
      <c r="C326" s="7">
        <v>63.161799999999999</v>
      </c>
      <c r="D326" s="7">
        <v>56.736699999999999</v>
      </c>
      <c r="E326" s="7">
        <v>70.314499999999995</v>
      </c>
      <c r="F326" s="11">
        <f t="shared" si="5"/>
        <v>13.577799999999996</v>
      </c>
      <c r="G326" s="12">
        <f>Ocupados_Proy!$D$326</f>
        <v>268370</v>
      </c>
    </row>
    <row r="327" spans="1:7" ht="15" customHeight="1" x14ac:dyDescent="0.25">
      <c r="A327" s="6" t="s">
        <v>39</v>
      </c>
      <c r="B327" s="10">
        <v>2040</v>
      </c>
      <c r="C327" s="7">
        <v>37.104700000000001</v>
      </c>
      <c r="D327" s="7">
        <v>31.0624</v>
      </c>
      <c r="E327" s="7">
        <v>44.322299999999998</v>
      </c>
      <c r="F327" s="11">
        <f t="shared" si="5"/>
        <v>13.259899999999998</v>
      </c>
      <c r="G327" s="12">
        <f>Ocupados_Proy!$D$327</f>
        <v>5375175</v>
      </c>
    </row>
    <row r="328" spans="1:7" ht="15" customHeight="1" x14ac:dyDescent="0.25">
      <c r="A328" s="8" t="s">
        <v>40</v>
      </c>
      <c r="B328" s="13">
        <v>2040</v>
      </c>
      <c r="C328" s="9">
        <v>36.289000000000001</v>
      </c>
      <c r="D328" s="9">
        <v>28.986000000000001</v>
      </c>
      <c r="E328" s="9">
        <v>45.432000000000002</v>
      </c>
      <c r="F328" s="14">
        <f t="shared" si="5"/>
        <v>16.446000000000002</v>
      </c>
      <c r="G328" s="15">
        <f>Ocupados_Proy!$D$328</f>
        <v>1649641</v>
      </c>
    </row>
    <row r="329" spans="1:7" ht="15" customHeight="1" x14ac:dyDescent="0.25">
      <c r="A329" s="6" t="s">
        <v>41</v>
      </c>
      <c r="B329" s="10">
        <v>2040</v>
      </c>
      <c r="C329" s="7">
        <v>43.743299999999998</v>
      </c>
      <c r="D329" s="7">
        <v>36.6036</v>
      </c>
      <c r="E329" s="7">
        <v>52.275599999999997</v>
      </c>
      <c r="F329" s="11">
        <f t="shared" si="5"/>
        <v>15.671999999999997</v>
      </c>
      <c r="G329" s="12">
        <f>Ocupados_Proy!$D$329</f>
        <v>1431881</v>
      </c>
    </row>
    <row r="330" spans="1:7" ht="15" customHeight="1" x14ac:dyDescent="0.25">
      <c r="A330" s="8" t="s">
        <v>42</v>
      </c>
      <c r="B330" s="13">
        <v>2040</v>
      </c>
      <c r="C330" s="9">
        <v>50.751100000000001</v>
      </c>
      <c r="D330" s="9">
        <v>44.299900000000001</v>
      </c>
      <c r="E330" s="9">
        <v>58.1419</v>
      </c>
      <c r="F330" s="14">
        <f t="shared" si="5"/>
        <v>13.841999999999999</v>
      </c>
      <c r="G330" s="15">
        <f>Ocupados_Proy!$D$330</f>
        <v>818517</v>
      </c>
    </row>
    <row r="331" spans="1:7" ht="15" customHeight="1" x14ac:dyDescent="0.25">
      <c r="A331" s="6" t="s">
        <v>43</v>
      </c>
      <c r="B331" s="10">
        <v>2040</v>
      </c>
      <c r="C331" s="7">
        <v>55.589599999999997</v>
      </c>
      <c r="D331" s="7">
        <v>47.764099999999999</v>
      </c>
      <c r="E331" s="7">
        <v>64.697000000000003</v>
      </c>
      <c r="F331" s="11">
        <f t="shared" si="5"/>
        <v>16.932900000000004</v>
      </c>
      <c r="G331" s="12">
        <f>Ocupados_Proy!$D$331</f>
        <v>413150</v>
      </c>
    </row>
    <row r="332" spans="1:7" ht="15" customHeight="1" x14ac:dyDescent="0.25">
      <c r="A332" s="8" t="s">
        <v>44</v>
      </c>
      <c r="B332" s="13">
        <v>2040</v>
      </c>
      <c r="C332" s="9">
        <v>43.679400000000001</v>
      </c>
      <c r="D332" s="9">
        <v>36.7288</v>
      </c>
      <c r="E332" s="9">
        <v>51.945300000000003</v>
      </c>
      <c r="F332" s="14">
        <f t="shared" si="5"/>
        <v>15.216500000000003</v>
      </c>
      <c r="G332" s="15">
        <f>Ocupados_Proy!$D$332</f>
        <v>344980</v>
      </c>
    </row>
    <row r="333" spans="1:7" ht="15" customHeight="1" x14ac:dyDescent="0.25">
      <c r="A333" s="6" t="s">
        <v>45</v>
      </c>
      <c r="B333" s="10">
        <v>2040</v>
      </c>
      <c r="C333" s="7">
        <v>63.889400000000002</v>
      </c>
      <c r="D333" s="7">
        <v>57.906199999999998</v>
      </c>
      <c r="E333" s="7">
        <v>70.491</v>
      </c>
      <c r="F333" s="11">
        <f t="shared" si="5"/>
        <v>12.584800000000001</v>
      </c>
      <c r="G333" s="12">
        <f>Ocupados_Proy!$D$333</f>
        <v>287413</v>
      </c>
    </row>
    <row r="334" spans="1:7" ht="15" customHeight="1" x14ac:dyDescent="0.25">
      <c r="A334" s="8" t="s">
        <v>46</v>
      </c>
      <c r="B334" s="13">
        <v>2040</v>
      </c>
      <c r="C334" s="9">
        <v>51.836799999999997</v>
      </c>
      <c r="D334" s="9">
        <v>45.059199999999997</v>
      </c>
      <c r="E334" s="9">
        <v>59.633699999999997</v>
      </c>
      <c r="F334" s="14">
        <f t="shared" si="5"/>
        <v>14.5745</v>
      </c>
      <c r="G334" s="15">
        <f>Ocupados_Proy!$D$334</f>
        <v>317974</v>
      </c>
    </row>
    <row r="335" spans="1:7" ht="15" customHeight="1" x14ac:dyDescent="0.25">
      <c r="A335" s="6" t="s">
        <v>47</v>
      </c>
      <c r="B335" s="10">
        <v>2040</v>
      </c>
      <c r="C335" s="7">
        <v>63.756700000000002</v>
      </c>
      <c r="D335" s="7">
        <v>56.025799999999997</v>
      </c>
      <c r="E335" s="7">
        <v>72.554299999999998</v>
      </c>
      <c r="F335" s="11">
        <f t="shared" si="5"/>
        <v>16.528500000000001</v>
      </c>
      <c r="G335" s="12">
        <f>Ocupados_Proy!$D$335</f>
        <v>532524</v>
      </c>
    </row>
    <row r="336" spans="1:7" ht="15" customHeight="1" x14ac:dyDescent="0.25">
      <c r="A336" s="8" t="s">
        <v>48</v>
      </c>
      <c r="B336" s="13">
        <v>2040</v>
      </c>
      <c r="C336" s="9">
        <v>55.497199999999999</v>
      </c>
      <c r="D336" s="9">
        <v>49.220700000000001</v>
      </c>
      <c r="E336" s="9">
        <v>62.573999999999998</v>
      </c>
      <c r="F336" s="14">
        <f t="shared" si="5"/>
        <v>13.353299999999997</v>
      </c>
      <c r="G336" s="15">
        <f>Ocupados_Proy!$D$336</f>
        <v>390733</v>
      </c>
    </row>
    <row r="337" spans="1:7" ht="15" customHeight="1" x14ac:dyDescent="0.25">
      <c r="A337" s="6" t="s">
        <v>49</v>
      </c>
      <c r="B337" s="10">
        <v>2040</v>
      </c>
      <c r="C337" s="7">
        <v>68.662599999999998</v>
      </c>
      <c r="D337" s="7">
        <v>61.706699999999998</v>
      </c>
      <c r="E337" s="7">
        <v>76.402500000000003</v>
      </c>
      <c r="F337" s="11">
        <f t="shared" si="5"/>
        <v>14.695800000000006</v>
      </c>
      <c r="G337" s="12">
        <f>Ocupados_Proy!$D$337</f>
        <v>493437</v>
      </c>
    </row>
    <row r="338" spans="1:7" ht="15" customHeight="1" x14ac:dyDescent="0.25">
      <c r="A338" s="8" t="s">
        <v>50</v>
      </c>
      <c r="B338" s="13">
        <v>2040</v>
      </c>
      <c r="C338" s="9">
        <v>50.843299999999999</v>
      </c>
      <c r="D338" s="9">
        <v>44.616900000000001</v>
      </c>
      <c r="E338" s="9">
        <v>57.938499999999998</v>
      </c>
      <c r="F338" s="14">
        <f t="shared" si="5"/>
        <v>13.321599999999997</v>
      </c>
      <c r="G338" s="15">
        <f>Ocupados_Proy!$D$338</f>
        <v>664901</v>
      </c>
    </row>
    <row r="339" spans="1:7" ht="15" customHeight="1" x14ac:dyDescent="0.25">
      <c r="A339" s="6" t="s">
        <v>51</v>
      </c>
      <c r="B339" s="10">
        <v>2040</v>
      </c>
      <c r="C339" s="7">
        <v>55.930900000000001</v>
      </c>
      <c r="D339" s="7">
        <v>49.4801</v>
      </c>
      <c r="E339" s="7">
        <v>63.222700000000003</v>
      </c>
      <c r="F339" s="11">
        <f t="shared" si="5"/>
        <v>13.742600000000003</v>
      </c>
      <c r="G339" s="12">
        <f>Ocupados_Proy!$D$339</f>
        <v>444773</v>
      </c>
    </row>
    <row r="340" spans="1:7" ht="15" customHeight="1" x14ac:dyDescent="0.25">
      <c r="A340" s="8" t="s">
        <v>52</v>
      </c>
      <c r="B340" s="13">
        <v>2040</v>
      </c>
      <c r="C340" s="9">
        <v>55.969799999999999</v>
      </c>
      <c r="D340" s="9">
        <v>49.748399999999997</v>
      </c>
      <c r="E340" s="9">
        <v>62.969200000000001</v>
      </c>
      <c r="F340" s="14">
        <f t="shared" si="5"/>
        <v>13.220800000000004</v>
      </c>
      <c r="G340" s="15">
        <f>Ocupados_Proy!$D$340</f>
        <v>159126</v>
      </c>
    </row>
    <row r="341" spans="1:7" ht="15" customHeight="1" x14ac:dyDescent="0.25">
      <c r="A341" s="6" t="s">
        <v>53</v>
      </c>
      <c r="B341" s="10">
        <v>2040</v>
      </c>
      <c r="C341" s="7">
        <v>70.061300000000003</v>
      </c>
      <c r="D341" s="7">
        <v>63.328299999999999</v>
      </c>
      <c r="E341" s="7">
        <v>77.510099999999994</v>
      </c>
      <c r="F341" s="11">
        <f t="shared" si="5"/>
        <v>14.181799999999996</v>
      </c>
      <c r="G341" s="12">
        <f>Ocupados_Proy!$D$341</f>
        <v>147412</v>
      </c>
    </row>
    <row r="342" spans="1:7" ht="15" customHeight="1" x14ac:dyDescent="0.25">
      <c r="A342" s="8" t="s">
        <v>54</v>
      </c>
      <c r="B342" s="13">
        <v>2040</v>
      </c>
      <c r="C342" s="9">
        <v>63.7622</v>
      </c>
      <c r="D342" s="9">
        <v>57.321599999999997</v>
      </c>
      <c r="E342" s="9">
        <v>70.926500000000004</v>
      </c>
      <c r="F342" s="14">
        <f t="shared" si="5"/>
        <v>13.604900000000008</v>
      </c>
      <c r="G342" s="15">
        <f>Ocupados_Proy!$D$342</f>
        <v>270693</v>
      </c>
    </row>
    <row r="343" spans="1:7" ht="15" customHeight="1" x14ac:dyDescent="0.25">
      <c r="A343" s="6" t="s">
        <v>55</v>
      </c>
      <c r="B343" s="10">
        <v>2040</v>
      </c>
      <c r="C343" s="7">
        <v>62.207700000000003</v>
      </c>
      <c r="D343" s="7">
        <v>55.656100000000002</v>
      </c>
      <c r="E343" s="7">
        <v>69.530600000000007</v>
      </c>
      <c r="F343" s="11">
        <f t="shared" si="5"/>
        <v>13.874500000000005</v>
      </c>
      <c r="G343" s="12">
        <f>Ocupados_Proy!$D$343</f>
        <v>565976</v>
      </c>
    </row>
    <row r="344" spans="1:7" ht="15" customHeight="1" x14ac:dyDescent="0.25">
      <c r="A344" s="8" t="s">
        <v>56</v>
      </c>
      <c r="B344" s="13">
        <v>2040</v>
      </c>
      <c r="C344" s="9">
        <v>73.076400000000007</v>
      </c>
      <c r="D344" s="9">
        <v>66.323700000000002</v>
      </c>
      <c r="E344" s="9">
        <v>80.516499999999994</v>
      </c>
      <c r="F344" s="14">
        <f t="shared" si="5"/>
        <v>14.192799999999991</v>
      </c>
      <c r="G344" s="15">
        <f>Ocupados_Proy!$D$344</f>
        <v>112139</v>
      </c>
    </row>
    <row r="345" spans="1:7" ht="15" customHeight="1" x14ac:dyDescent="0.25">
      <c r="A345" s="6" t="s">
        <v>57</v>
      </c>
      <c r="B345" s="10">
        <v>2040</v>
      </c>
      <c r="C345" s="7">
        <v>59.682000000000002</v>
      </c>
      <c r="D345" s="7">
        <v>53.258200000000002</v>
      </c>
      <c r="E345" s="7">
        <v>66.880499999999998</v>
      </c>
      <c r="F345" s="11">
        <f t="shared" si="5"/>
        <v>13.622299999999996</v>
      </c>
      <c r="G345" s="12">
        <f>Ocupados_Proy!$D$345</f>
        <v>328226</v>
      </c>
    </row>
    <row r="346" spans="1:7" ht="15" customHeight="1" x14ac:dyDescent="0.25">
      <c r="A346" s="8" t="s">
        <v>58</v>
      </c>
      <c r="B346" s="13">
        <v>2040</v>
      </c>
      <c r="C346" s="9">
        <v>67.875799999999998</v>
      </c>
      <c r="D346" s="9">
        <v>61.238599999999998</v>
      </c>
      <c r="E346" s="9">
        <v>75.232200000000006</v>
      </c>
      <c r="F346" s="14">
        <f t="shared" si="5"/>
        <v>13.993600000000008</v>
      </c>
      <c r="G346" s="15">
        <f>Ocupados_Proy!$D$346</f>
        <v>149438</v>
      </c>
    </row>
    <row r="347" spans="1:7" ht="15" customHeight="1" x14ac:dyDescent="0.25">
      <c r="A347" s="6" t="s">
        <v>59</v>
      </c>
      <c r="B347" s="10">
        <v>2040</v>
      </c>
      <c r="C347" s="7">
        <v>53.381</v>
      </c>
      <c r="D347" s="7">
        <v>47.039200000000001</v>
      </c>
      <c r="E347" s="7">
        <v>60.5779</v>
      </c>
      <c r="F347" s="11">
        <f t="shared" si="5"/>
        <v>13.538699999999999</v>
      </c>
      <c r="G347" s="12">
        <f>Ocupados_Proy!$D$347</f>
        <v>461811</v>
      </c>
    </row>
    <row r="348" spans="1:7" ht="15" customHeight="1" x14ac:dyDescent="0.25">
      <c r="A348" s="8" t="s">
        <v>60</v>
      </c>
      <c r="B348" s="13">
        <v>2040</v>
      </c>
      <c r="C348" s="9">
        <v>49.554900000000004</v>
      </c>
      <c r="D348" s="9">
        <v>43.218800000000002</v>
      </c>
      <c r="E348" s="9">
        <v>56.82</v>
      </c>
      <c r="F348" s="14">
        <f t="shared" si="5"/>
        <v>13.601199999999999</v>
      </c>
      <c r="G348" s="15">
        <f>Ocupados_Proy!$D$348</f>
        <v>200909</v>
      </c>
    </row>
    <row r="349" spans="1:7" ht="15" customHeight="1" x14ac:dyDescent="0.25">
      <c r="A349" s="6" t="s">
        <v>61</v>
      </c>
      <c r="B349" s="10">
        <v>2040</v>
      </c>
      <c r="C349" s="7">
        <v>62.854900000000001</v>
      </c>
      <c r="D349" s="7">
        <v>56.262700000000002</v>
      </c>
      <c r="E349" s="7">
        <v>70.219499999999996</v>
      </c>
      <c r="F349" s="11">
        <f t="shared" si="5"/>
        <v>13.956799999999994</v>
      </c>
      <c r="G349" s="12">
        <f>Ocupados_Proy!$D$349</f>
        <v>271214</v>
      </c>
    </row>
    <row r="350" spans="1:7" ht="15" customHeight="1" x14ac:dyDescent="0.25">
      <c r="A350" s="6" t="s">
        <v>39</v>
      </c>
      <c r="B350" s="10">
        <v>2041</v>
      </c>
      <c r="C350" s="7">
        <v>36.815899999999999</v>
      </c>
      <c r="D350" s="7">
        <v>30.6525</v>
      </c>
      <c r="E350" s="7">
        <v>44.218499999999999</v>
      </c>
      <c r="F350" s="11">
        <f t="shared" si="5"/>
        <v>13.565999999999999</v>
      </c>
      <c r="G350" s="12">
        <f>Ocupados_Proy!$D$350</f>
        <v>5333303</v>
      </c>
    </row>
    <row r="351" spans="1:7" ht="15" customHeight="1" x14ac:dyDescent="0.25">
      <c r="A351" s="8" t="s">
        <v>40</v>
      </c>
      <c r="B351" s="13">
        <v>2041</v>
      </c>
      <c r="C351" s="9">
        <v>35.932299999999998</v>
      </c>
      <c r="D351" s="9">
        <v>28.503299999999999</v>
      </c>
      <c r="E351" s="9">
        <v>45.297499999999999</v>
      </c>
      <c r="F351" s="14">
        <f t="shared" si="5"/>
        <v>16.7942</v>
      </c>
      <c r="G351" s="15">
        <f>Ocupados_Proy!$D$351</f>
        <v>1637210</v>
      </c>
    </row>
    <row r="352" spans="1:7" ht="15" customHeight="1" x14ac:dyDescent="0.25">
      <c r="A352" s="6" t="s">
        <v>41</v>
      </c>
      <c r="B352" s="10">
        <v>2041</v>
      </c>
      <c r="C352" s="7">
        <v>43.401899999999998</v>
      </c>
      <c r="D352" s="7">
        <v>36.119300000000003</v>
      </c>
      <c r="E352" s="7">
        <v>52.152900000000002</v>
      </c>
      <c r="F352" s="11">
        <f t="shared" si="5"/>
        <v>16.0336</v>
      </c>
      <c r="G352" s="12">
        <f>Ocupados_Proy!$D$352</f>
        <v>1418983</v>
      </c>
    </row>
    <row r="353" spans="1:7" ht="15" customHeight="1" x14ac:dyDescent="0.25">
      <c r="A353" s="8" t="s">
        <v>42</v>
      </c>
      <c r="B353" s="13">
        <v>2041</v>
      </c>
      <c r="C353" s="9">
        <v>50.448700000000002</v>
      </c>
      <c r="D353" s="9">
        <v>43.851999999999997</v>
      </c>
      <c r="E353" s="9">
        <v>58.037700000000001</v>
      </c>
      <c r="F353" s="14">
        <f t="shared" si="5"/>
        <v>14.185700000000004</v>
      </c>
      <c r="G353" s="15">
        <f>Ocupados_Proy!$D$353</f>
        <v>814686</v>
      </c>
    </row>
    <row r="354" spans="1:7" ht="15" customHeight="1" x14ac:dyDescent="0.25">
      <c r="A354" s="6" t="s">
        <v>43</v>
      </c>
      <c r="B354" s="10">
        <v>2041</v>
      </c>
      <c r="C354" s="7">
        <v>55.22</v>
      </c>
      <c r="D354" s="7">
        <v>47.2256</v>
      </c>
      <c r="E354" s="7">
        <v>64.567700000000002</v>
      </c>
      <c r="F354" s="11">
        <f t="shared" si="5"/>
        <v>17.342100000000002</v>
      </c>
      <c r="G354" s="12">
        <f>Ocupados_Proy!$D$354</f>
        <v>411369</v>
      </c>
    </row>
    <row r="355" spans="1:7" ht="15" customHeight="1" x14ac:dyDescent="0.25">
      <c r="A355" s="8" t="s">
        <v>44</v>
      </c>
      <c r="B355" s="13">
        <v>2041</v>
      </c>
      <c r="C355" s="9">
        <v>43.347799999999999</v>
      </c>
      <c r="D355" s="9">
        <v>36.256100000000004</v>
      </c>
      <c r="E355" s="9">
        <v>51.826799999999999</v>
      </c>
      <c r="F355" s="14">
        <f t="shared" si="5"/>
        <v>15.570699999999995</v>
      </c>
      <c r="G355" s="15">
        <f>Ocupados_Proy!$D$355</f>
        <v>345376</v>
      </c>
    </row>
    <row r="356" spans="1:7" ht="15" customHeight="1" x14ac:dyDescent="0.25">
      <c r="A356" s="6" t="s">
        <v>45</v>
      </c>
      <c r="B356" s="10">
        <v>2041</v>
      </c>
      <c r="C356" s="7">
        <v>63.613900000000001</v>
      </c>
      <c r="D356" s="7">
        <v>57.482199999999999</v>
      </c>
      <c r="E356" s="7">
        <v>70.399600000000007</v>
      </c>
      <c r="F356" s="11">
        <f t="shared" si="5"/>
        <v>12.917400000000008</v>
      </c>
      <c r="G356" s="12">
        <f>Ocupados_Proy!$D$356</f>
        <v>286423</v>
      </c>
    </row>
    <row r="357" spans="1:7" ht="15" customHeight="1" x14ac:dyDescent="0.25">
      <c r="A357" s="8" t="s">
        <v>46</v>
      </c>
      <c r="B357" s="13">
        <v>2041</v>
      </c>
      <c r="C357" s="9">
        <v>51.5184</v>
      </c>
      <c r="D357" s="9">
        <v>44.589799999999997</v>
      </c>
      <c r="E357" s="9">
        <v>59.523699999999998</v>
      </c>
      <c r="F357" s="14">
        <f t="shared" si="5"/>
        <v>14.933900000000001</v>
      </c>
      <c r="G357" s="15">
        <f>Ocupados_Proy!$D$357</f>
        <v>316179</v>
      </c>
    </row>
    <row r="358" spans="1:7" ht="15" customHeight="1" x14ac:dyDescent="0.25">
      <c r="A358" s="6" t="s">
        <v>47</v>
      </c>
      <c r="B358" s="10">
        <v>2041</v>
      </c>
      <c r="C358" s="7">
        <v>63.395400000000002</v>
      </c>
      <c r="D358" s="7">
        <v>55.487200000000001</v>
      </c>
      <c r="E358" s="7">
        <v>72.430800000000005</v>
      </c>
      <c r="F358" s="11">
        <f t="shared" si="5"/>
        <v>16.943600000000004</v>
      </c>
      <c r="G358" s="12">
        <f>Ocupados_Proy!$D$358</f>
        <v>530398</v>
      </c>
    </row>
    <row r="359" spans="1:7" ht="15" customHeight="1" x14ac:dyDescent="0.25">
      <c r="A359" s="8" t="s">
        <v>48</v>
      </c>
      <c r="B359" s="13">
        <v>2041</v>
      </c>
      <c r="C359" s="9">
        <v>55.205100000000002</v>
      </c>
      <c r="D359" s="9">
        <v>48.781199999999998</v>
      </c>
      <c r="E359" s="9">
        <v>62.475000000000001</v>
      </c>
      <c r="F359" s="14">
        <f t="shared" si="5"/>
        <v>13.693800000000003</v>
      </c>
      <c r="G359" s="15">
        <f>Ocupados_Proy!$D$359</f>
        <v>390932</v>
      </c>
    </row>
    <row r="360" spans="1:7" ht="15" customHeight="1" x14ac:dyDescent="0.25">
      <c r="A360" s="6" t="s">
        <v>49</v>
      </c>
      <c r="B360" s="10">
        <v>2041</v>
      </c>
      <c r="C360" s="7">
        <v>68.340900000000005</v>
      </c>
      <c r="D360" s="7">
        <v>61.216099999999997</v>
      </c>
      <c r="E360" s="7">
        <v>76.294899999999998</v>
      </c>
      <c r="F360" s="11">
        <f t="shared" si="5"/>
        <v>15.078800000000001</v>
      </c>
      <c r="G360" s="12">
        <f>Ocupados_Proy!$D$360</f>
        <v>499912</v>
      </c>
    </row>
    <row r="361" spans="1:7" ht="15" customHeight="1" x14ac:dyDescent="0.25">
      <c r="A361" s="8" t="s">
        <v>50</v>
      </c>
      <c r="B361" s="13">
        <v>2041</v>
      </c>
      <c r="C361" s="9">
        <v>50.552100000000003</v>
      </c>
      <c r="D361" s="9">
        <v>44.183399999999999</v>
      </c>
      <c r="E361" s="9">
        <v>57.838799999999999</v>
      </c>
      <c r="F361" s="14">
        <f t="shared" si="5"/>
        <v>13.6554</v>
      </c>
      <c r="G361" s="15">
        <f>Ocupados_Proy!$D$361</f>
        <v>663387</v>
      </c>
    </row>
    <row r="362" spans="1:7" ht="15" customHeight="1" x14ac:dyDescent="0.25">
      <c r="A362" s="6" t="s">
        <v>51</v>
      </c>
      <c r="B362" s="10">
        <v>2041</v>
      </c>
      <c r="C362" s="7">
        <v>55.630400000000002</v>
      </c>
      <c r="D362" s="7">
        <v>49.029000000000003</v>
      </c>
      <c r="E362" s="7">
        <v>63.120600000000003</v>
      </c>
      <c r="F362" s="11">
        <f t="shared" si="5"/>
        <v>14.0916</v>
      </c>
      <c r="G362" s="12">
        <f>Ocupados_Proy!$D$362</f>
        <v>446576</v>
      </c>
    </row>
    <row r="363" spans="1:7" ht="15" customHeight="1" x14ac:dyDescent="0.25">
      <c r="A363" s="8" t="s">
        <v>52</v>
      </c>
      <c r="B363" s="13">
        <v>2041</v>
      </c>
      <c r="C363" s="9">
        <v>55.680599999999998</v>
      </c>
      <c r="D363" s="9">
        <v>49.312199999999997</v>
      </c>
      <c r="E363" s="9">
        <v>62.871499999999997</v>
      </c>
      <c r="F363" s="14">
        <f t="shared" si="5"/>
        <v>13.5593</v>
      </c>
      <c r="G363" s="15">
        <f>Ocupados_Proy!$D$363</f>
        <v>160844</v>
      </c>
    </row>
    <row r="364" spans="1:7" ht="15" customHeight="1" x14ac:dyDescent="0.25">
      <c r="A364" s="6" t="s">
        <v>53</v>
      </c>
      <c r="B364" s="10">
        <v>2041</v>
      </c>
      <c r="C364" s="7">
        <v>69.750799999999998</v>
      </c>
      <c r="D364" s="7">
        <v>62.851900000000001</v>
      </c>
      <c r="E364" s="7">
        <v>77.406899999999993</v>
      </c>
      <c r="F364" s="11">
        <f t="shared" si="5"/>
        <v>14.554999999999993</v>
      </c>
      <c r="G364" s="12">
        <f>Ocupados_Proy!$D$364</f>
        <v>148253</v>
      </c>
    </row>
    <row r="365" spans="1:7" ht="15" customHeight="1" x14ac:dyDescent="0.25">
      <c r="A365" s="8" t="s">
        <v>54</v>
      </c>
      <c r="B365" s="13">
        <v>2041</v>
      </c>
      <c r="C365" s="9">
        <v>63.464399999999998</v>
      </c>
      <c r="D365" s="9">
        <v>56.8673</v>
      </c>
      <c r="E365" s="9">
        <v>70.826899999999995</v>
      </c>
      <c r="F365" s="14">
        <f t="shared" si="5"/>
        <v>13.959599999999995</v>
      </c>
      <c r="G365" s="15">
        <f>Ocupados_Proy!$D$365</f>
        <v>271374</v>
      </c>
    </row>
    <row r="366" spans="1:7" ht="15" customHeight="1" x14ac:dyDescent="0.25">
      <c r="A366" s="6" t="s">
        <v>55</v>
      </c>
      <c r="B366" s="10">
        <v>2041</v>
      </c>
      <c r="C366" s="7">
        <v>61.9041</v>
      </c>
      <c r="D366" s="7">
        <v>55.195099999999996</v>
      </c>
      <c r="E366" s="7">
        <v>69.428700000000006</v>
      </c>
      <c r="F366" s="11">
        <f t="shared" si="5"/>
        <v>14.23360000000001</v>
      </c>
      <c r="G366" s="12">
        <f>Ocupados_Proy!$D$366</f>
        <v>575260</v>
      </c>
    </row>
    <row r="367" spans="1:7" ht="15" customHeight="1" x14ac:dyDescent="0.25">
      <c r="A367" s="8" t="s">
        <v>56</v>
      </c>
      <c r="B367" s="13">
        <v>2041</v>
      </c>
      <c r="C367" s="9">
        <v>72.765500000000003</v>
      </c>
      <c r="D367" s="9">
        <v>65.844800000000006</v>
      </c>
      <c r="E367" s="9">
        <v>80.413700000000006</v>
      </c>
      <c r="F367" s="14">
        <f t="shared" si="5"/>
        <v>14.568899999999999</v>
      </c>
      <c r="G367" s="15">
        <f>Ocupados_Proy!$D$367</f>
        <v>113036</v>
      </c>
    </row>
    <row r="368" spans="1:7" ht="15" customHeight="1" x14ac:dyDescent="0.25">
      <c r="A368" s="6" t="s">
        <v>57</v>
      </c>
      <c r="B368" s="10">
        <v>2041</v>
      </c>
      <c r="C368" s="7">
        <v>59.383899999999997</v>
      </c>
      <c r="D368" s="7">
        <v>52.806800000000003</v>
      </c>
      <c r="E368" s="7">
        <v>66.780199999999994</v>
      </c>
      <c r="F368" s="11">
        <f t="shared" si="5"/>
        <v>13.973399999999991</v>
      </c>
      <c r="G368" s="12">
        <f>Ocupados_Proy!$D$368</f>
        <v>330941</v>
      </c>
    </row>
    <row r="369" spans="1:7" ht="15" customHeight="1" x14ac:dyDescent="0.25">
      <c r="A369" s="8" t="s">
        <v>58</v>
      </c>
      <c r="B369" s="13">
        <v>2041</v>
      </c>
      <c r="C369" s="9">
        <v>67.569400000000002</v>
      </c>
      <c r="D369" s="9">
        <v>60.769500000000001</v>
      </c>
      <c r="E369" s="9">
        <v>75.130200000000002</v>
      </c>
      <c r="F369" s="14">
        <f t="shared" si="5"/>
        <v>14.360700000000001</v>
      </c>
      <c r="G369" s="15">
        <f>Ocupados_Proy!$D$369</f>
        <v>149547</v>
      </c>
    </row>
    <row r="370" spans="1:7" ht="15" customHeight="1" x14ac:dyDescent="0.25">
      <c r="A370" s="6" t="s">
        <v>59</v>
      </c>
      <c r="B370" s="10">
        <v>2041</v>
      </c>
      <c r="C370" s="7">
        <v>53.085099999999997</v>
      </c>
      <c r="D370" s="7">
        <v>46.596600000000002</v>
      </c>
      <c r="E370" s="7">
        <v>60.476999999999997</v>
      </c>
      <c r="F370" s="11">
        <f t="shared" si="5"/>
        <v>13.880399999999995</v>
      </c>
      <c r="G370" s="12">
        <f>Ocupados_Proy!$D$370</f>
        <v>464232</v>
      </c>
    </row>
    <row r="371" spans="1:7" ht="15" customHeight="1" x14ac:dyDescent="0.25">
      <c r="A371" s="8" t="s">
        <v>60</v>
      </c>
      <c r="B371" s="13">
        <v>2041</v>
      </c>
      <c r="C371" s="9">
        <v>49.257800000000003</v>
      </c>
      <c r="D371" s="9">
        <v>42.7791</v>
      </c>
      <c r="E371" s="9">
        <v>56.717599999999997</v>
      </c>
      <c r="F371" s="14">
        <f t="shared" si="5"/>
        <v>13.938499999999998</v>
      </c>
      <c r="G371" s="15">
        <f>Ocupados_Proy!$D$371</f>
        <v>199915</v>
      </c>
    </row>
    <row r="372" spans="1:7" ht="15" customHeight="1" x14ac:dyDescent="0.25">
      <c r="A372" s="6" t="s">
        <v>61</v>
      </c>
      <c r="B372" s="10">
        <v>2041</v>
      </c>
      <c r="C372" s="7">
        <v>62.549500000000002</v>
      </c>
      <c r="D372" s="7">
        <v>55.7988</v>
      </c>
      <c r="E372" s="7">
        <v>70.117000000000004</v>
      </c>
      <c r="F372" s="11">
        <f t="shared" si="5"/>
        <v>14.318200000000004</v>
      </c>
      <c r="G372" s="12">
        <f>Ocupados_Proy!$D$372</f>
        <v>273902</v>
      </c>
    </row>
    <row r="373" spans="1:7" ht="15" customHeight="1" x14ac:dyDescent="0.25">
      <c r="A373" s="6" t="s">
        <v>39</v>
      </c>
      <c r="B373" s="10">
        <v>2042</v>
      </c>
      <c r="C373" s="7">
        <v>36.529299999999999</v>
      </c>
      <c r="D373" s="7">
        <v>30.252800000000001</v>
      </c>
      <c r="E373" s="7">
        <v>44.107999999999997</v>
      </c>
      <c r="F373" s="11">
        <f t="shared" si="5"/>
        <v>13.855199999999996</v>
      </c>
      <c r="G373" s="12">
        <f>Ocupados_Proy!$D$373</f>
        <v>5286986</v>
      </c>
    </row>
    <row r="374" spans="1:7" ht="15" customHeight="1" x14ac:dyDescent="0.25">
      <c r="A374" s="8" t="s">
        <v>40</v>
      </c>
      <c r="B374" s="13">
        <v>2042</v>
      </c>
      <c r="C374" s="9">
        <v>35.579099999999997</v>
      </c>
      <c r="D374" s="9">
        <v>28.034300000000002</v>
      </c>
      <c r="E374" s="9">
        <v>45.154499999999999</v>
      </c>
      <c r="F374" s="14">
        <f t="shared" si="5"/>
        <v>17.120199999999997</v>
      </c>
      <c r="G374" s="15">
        <f>Ocupados_Proy!$D$374</f>
        <v>1623147</v>
      </c>
    </row>
    <row r="375" spans="1:7" ht="15" customHeight="1" x14ac:dyDescent="0.25">
      <c r="A375" s="6" t="s">
        <v>41</v>
      </c>
      <c r="B375" s="10">
        <v>2042</v>
      </c>
      <c r="C375" s="7">
        <v>43.063299999999998</v>
      </c>
      <c r="D375" s="7">
        <v>35.647100000000002</v>
      </c>
      <c r="E375" s="7">
        <v>52.022199999999998</v>
      </c>
      <c r="F375" s="11">
        <f t="shared" si="5"/>
        <v>16.375099999999996</v>
      </c>
      <c r="G375" s="12">
        <f>Ocupados_Proy!$D$375</f>
        <v>1405109</v>
      </c>
    </row>
    <row r="376" spans="1:7" ht="15" customHeight="1" x14ac:dyDescent="0.25">
      <c r="A376" s="8" t="s">
        <v>42</v>
      </c>
      <c r="B376" s="13">
        <v>2042</v>
      </c>
      <c r="C376" s="9">
        <v>50.148099999999999</v>
      </c>
      <c r="D376" s="9">
        <v>43.414000000000001</v>
      </c>
      <c r="E376" s="9">
        <v>57.9268</v>
      </c>
      <c r="F376" s="14">
        <f t="shared" si="5"/>
        <v>14.512799999999999</v>
      </c>
      <c r="G376" s="15">
        <f>Ocupados_Proy!$D$376</f>
        <v>810127</v>
      </c>
    </row>
    <row r="377" spans="1:7" ht="15" customHeight="1" x14ac:dyDescent="0.25">
      <c r="A377" s="6" t="s">
        <v>43</v>
      </c>
      <c r="B377" s="10">
        <v>2042</v>
      </c>
      <c r="C377" s="7">
        <v>54.852899999999998</v>
      </c>
      <c r="D377" s="7">
        <v>46.699399999999997</v>
      </c>
      <c r="E377" s="7">
        <v>64.430000000000007</v>
      </c>
      <c r="F377" s="11">
        <f t="shared" si="5"/>
        <v>17.73060000000001</v>
      </c>
      <c r="G377" s="12">
        <f>Ocupados_Proy!$D$377</f>
        <v>409288</v>
      </c>
    </row>
    <row r="378" spans="1:7" ht="15" customHeight="1" x14ac:dyDescent="0.25">
      <c r="A378" s="8" t="s">
        <v>44</v>
      </c>
      <c r="B378" s="13">
        <v>2042</v>
      </c>
      <c r="C378" s="9">
        <v>43.018799999999999</v>
      </c>
      <c r="D378" s="9">
        <v>35.795000000000002</v>
      </c>
      <c r="E378" s="9">
        <v>51.700499999999998</v>
      </c>
      <c r="F378" s="14">
        <f t="shared" si="5"/>
        <v>15.905499999999996</v>
      </c>
      <c r="G378" s="15">
        <f>Ocupados_Proy!$D$378</f>
        <v>345422</v>
      </c>
    </row>
    <row r="379" spans="1:7" ht="15" customHeight="1" x14ac:dyDescent="0.25">
      <c r="A379" s="6" t="s">
        <v>45</v>
      </c>
      <c r="B379" s="10">
        <v>2042</v>
      </c>
      <c r="C379" s="7">
        <v>63.339500000000001</v>
      </c>
      <c r="D379" s="7">
        <v>57.066299999999998</v>
      </c>
      <c r="E379" s="7">
        <v>70.302199999999999</v>
      </c>
      <c r="F379" s="11">
        <f t="shared" si="5"/>
        <v>13.235900000000001</v>
      </c>
      <c r="G379" s="12">
        <f>Ocupados_Proy!$D$379</f>
        <v>285233</v>
      </c>
    </row>
    <row r="380" spans="1:7" ht="15" customHeight="1" x14ac:dyDescent="0.25">
      <c r="A380" s="8" t="s">
        <v>46</v>
      </c>
      <c r="B380" s="13">
        <v>2042</v>
      </c>
      <c r="C380" s="9">
        <v>51.201999999999998</v>
      </c>
      <c r="D380" s="9">
        <v>44.130800000000001</v>
      </c>
      <c r="E380" s="9">
        <v>59.406399999999998</v>
      </c>
      <c r="F380" s="14">
        <f t="shared" si="5"/>
        <v>15.275599999999997</v>
      </c>
      <c r="G380" s="15">
        <f>Ocupados_Proy!$D$380</f>
        <v>314080</v>
      </c>
    </row>
    <row r="381" spans="1:7" ht="15" customHeight="1" x14ac:dyDescent="0.25">
      <c r="A381" s="6" t="s">
        <v>47</v>
      </c>
      <c r="B381" s="10">
        <v>2042</v>
      </c>
      <c r="C381" s="7">
        <v>63.036200000000001</v>
      </c>
      <c r="D381" s="7">
        <v>54.960099999999997</v>
      </c>
      <c r="E381" s="7">
        <v>72.299099999999996</v>
      </c>
      <c r="F381" s="11">
        <f t="shared" si="5"/>
        <v>17.338999999999999</v>
      </c>
      <c r="G381" s="12">
        <f>Ocupados_Proy!$D$381</f>
        <v>528031</v>
      </c>
    </row>
    <row r="382" spans="1:7" ht="15" customHeight="1" x14ac:dyDescent="0.25">
      <c r="A382" s="8" t="s">
        <v>48</v>
      </c>
      <c r="B382" s="13">
        <v>2042</v>
      </c>
      <c r="C382" s="9">
        <v>54.9146</v>
      </c>
      <c r="D382" s="9">
        <v>48.350700000000003</v>
      </c>
      <c r="E382" s="9">
        <v>62.369500000000002</v>
      </c>
      <c r="F382" s="14">
        <f t="shared" si="5"/>
        <v>14.018799999999999</v>
      </c>
      <c r="G382" s="15">
        <f>Ocupados_Proy!$D$382</f>
        <v>390854</v>
      </c>
    </row>
    <row r="383" spans="1:7" ht="15" customHeight="1" x14ac:dyDescent="0.25">
      <c r="A383" s="6" t="s">
        <v>49</v>
      </c>
      <c r="B383" s="10">
        <v>2042</v>
      </c>
      <c r="C383" s="7">
        <v>68.020799999999994</v>
      </c>
      <c r="D383" s="7">
        <v>60.735199999999999</v>
      </c>
      <c r="E383" s="7">
        <v>76.180300000000003</v>
      </c>
      <c r="F383" s="11">
        <f t="shared" si="5"/>
        <v>15.445100000000004</v>
      </c>
      <c r="G383" s="12">
        <f>Ocupados_Proy!$D$383</f>
        <v>506116</v>
      </c>
    </row>
    <row r="384" spans="1:7" ht="15" customHeight="1" x14ac:dyDescent="0.25">
      <c r="A384" s="8" t="s">
        <v>50</v>
      </c>
      <c r="B384" s="13">
        <v>2042</v>
      </c>
      <c r="C384" s="9">
        <v>50.262599999999999</v>
      </c>
      <c r="D384" s="9">
        <v>43.7592</v>
      </c>
      <c r="E384" s="9">
        <v>57.732500000000002</v>
      </c>
      <c r="F384" s="14">
        <f t="shared" si="5"/>
        <v>13.973300000000002</v>
      </c>
      <c r="G384" s="15">
        <f>Ocupados_Proy!$D$384</f>
        <v>661440</v>
      </c>
    </row>
    <row r="385" spans="1:7" ht="15" customHeight="1" x14ac:dyDescent="0.25">
      <c r="A385" s="6" t="s">
        <v>51</v>
      </c>
      <c r="B385" s="10">
        <v>2042</v>
      </c>
      <c r="C385" s="7">
        <v>55.331499999999998</v>
      </c>
      <c r="D385" s="7">
        <v>48.587299999999999</v>
      </c>
      <c r="E385" s="7">
        <v>63.011800000000001</v>
      </c>
      <c r="F385" s="11">
        <f t="shared" si="5"/>
        <v>14.424500000000002</v>
      </c>
      <c r="G385" s="12">
        <f>Ocupados_Proy!$D$385</f>
        <v>448194</v>
      </c>
    </row>
    <row r="386" spans="1:7" ht="15" customHeight="1" x14ac:dyDescent="0.25">
      <c r="A386" s="8" t="s">
        <v>52</v>
      </c>
      <c r="B386" s="13">
        <v>2042</v>
      </c>
      <c r="C386" s="9">
        <v>55.392899999999997</v>
      </c>
      <c r="D386" s="9">
        <v>48.884999999999998</v>
      </c>
      <c r="E386" s="9">
        <v>62.767299999999999</v>
      </c>
      <c r="F386" s="14">
        <f t="shared" si="5"/>
        <v>13.882300000000001</v>
      </c>
      <c r="G386" s="15">
        <f>Ocupados_Proy!$D$386</f>
        <v>162426</v>
      </c>
    </row>
    <row r="387" spans="1:7" ht="15" customHeight="1" x14ac:dyDescent="0.25">
      <c r="A387" s="6" t="s">
        <v>53</v>
      </c>
      <c r="B387" s="10">
        <v>2042</v>
      </c>
      <c r="C387" s="7">
        <v>69.441599999999994</v>
      </c>
      <c r="D387" s="7">
        <v>62.384700000000002</v>
      </c>
      <c r="E387" s="7">
        <v>77.296899999999994</v>
      </c>
      <c r="F387" s="11">
        <f t="shared" si="5"/>
        <v>14.912199999999991</v>
      </c>
      <c r="G387" s="12">
        <f>Ocupados_Proy!$D$387</f>
        <v>149035</v>
      </c>
    </row>
    <row r="388" spans="1:7" ht="15" customHeight="1" x14ac:dyDescent="0.25">
      <c r="A388" s="8" t="s">
        <v>54</v>
      </c>
      <c r="B388" s="13">
        <v>2042</v>
      </c>
      <c r="C388" s="9">
        <v>63.167999999999999</v>
      </c>
      <c r="D388" s="9">
        <v>56.421799999999998</v>
      </c>
      <c r="E388" s="9">
        <v>70.720799999999997</v>
      </c>
      <c r="F388" s="14">
        <f t="shared" si="5"/>
        <v>14.298999999999999</v>
      </c>
      <c r="G388" s="15">
        <f>Ocupados_Proy!$D$388</f>
        <v>271810</v>
      </c>
    </row>
    <row r="389" spans="1:7" ht="15" customHeight="1" x14ac:dyDescent="0.25">
      <c r="A389" s="6" t="s">
        <v>55</v>
      </c>
      <c r="B389" s="10">
        <v>2042</v>
      </c>
      <c r="C389" s="7">
        <v>61.601999999999997</v>
      </c>
      <c r="D389" s="7">
        <v>54.743299999999998</v>
      </c>
      <c r="E389" s="7">
        <v>69.319999999999993</v>
      </c>
      <c r="F389" s="11">
        <f t="shared" ref="F389:F395" si="6">E389-D389</f>
        <v>14.576699999999995</v>
      </c>
      <c r="G389" s="12">
        <f>Ocupados_Proy!$D$389</f>
        <v>584263</v>
      </c>
    </row>
    <row r="390" spans="1:7" ht="15" customHeight="1" x14ac:dyDescent="0.25">
      <c r="A390" s="8" t="s">
        <v>56</v>
      </c>
      <c r="B390" s="13">
        <v>2042</v>
      </c>
      <c r="C390" s="9">
        <v>72.456000000000003</v>
      </c>
      <c r="D390" s="9">
        <v>65.375100000000003</v>
      </c>
      <c r="E390" s="9">
        <v>80.304000000000002</v>
      </c>
      <c r="F390" s="14">
        <f t="shared" si="6"/>
        <v>14.928899999999999</v>
      </c>
      <c r="G390" s="15">
        <f>Ocupados_Proy!$D$390</f>
        <v>113913</v>
      </c>
    </row>
    <row r="391" spans="1:7" ht="15" customHeight="1" x14ac:dyDescent="0.25">
      <c r="A391" s="6" t="s">
        <v>57</v>
      </c>
      <c r="B391" s="10">
        <v>2042</v>
      </c>
      <c r="C391" s="7">
        <v>59.087400000000002</v>
      </c>
      <c r="D391" s="7">
        <v>52.364600000000003</v>
      </c>
      <c r="E391" s="7">
        <v>66.673199999999994</v>
      </c>
      <c r="F391" s="11">
        <f t="shared" si="6"/>
        <v>14.308599999999991</v>
      </c>
      <c r="G391" s="12">
        <f>Ocupados_Proy!$D$391</f>
        <v>333419</v>
      </c>
    </row>
    <row r="392" spans="1:7" ht="15" customHeight="1" x14ac:dyDescent="0.25">
      <c r="A392" s="8" t="s">
        <v>58</v>
      </c>
      <c r="B392" s="13">
        <v>2042</v>
      </c>
      <c r="C392" s="9">
        <v>67.264399999999995</v>
      </c>
      <c r="D392" s="9">
        <v>60.3095</v>
      </c>
      <c r="E392" s="9">
        <v>75.021500000000003</v>
      </c>
      <c r="F392" s="14">
        <f t="shared" si="6"/>
        <v>14.712000000000003</v>
      </c>
      <c r="G392" s="15">
        <f>Ocupados_Proy!$D$392</f>
        <v>149569</v>
      </c>
    </row>
    <row r="393" spans="1:7" ht="15" customHeight="1" x14ac:dyDescent="0.25">
      <c r="A393" s="6" t="s">
        <v>59</v>
      </c>
      <c r="B393" s="10">
        <v>2042</v>
      </c>
      <c r="C393" s="7">
        <v>52.790700000000001</v>
      </c>
      <c r="D393" s="7">
        <v>46.163400000000003</v>
      </c>
      <c r="E393" s="7">
        <v>60.369399999999999</v>
      </c>
      <c r="F393" s="11">
        <f t="shared" si="6"/>
        <v>14.205999999999996</v>
      </c>
      <c r="G393" s="12">
        <f>Ocupados_Proy!$D$393</f>
        <v>466365</v>
      </c>
    </row>
    <row r="394" spans="1:7" ht="15" customHeight="1" x14ac:dyDescent="0.25">
      <c r="A394" s="8" t="s">
        <v>60</v>
      </c>
      <c r="B394" s="13">
        <v>2042</v>
      </c>
      <c r="C394" s="9">
        <v>48.962400000000002</v>
      </c>
      <c r="D394" s="9">
        <v>42.3491</v>
      </c>
      <c r="E394" s="9">
        <v>56.608499999999999</v>
      </c>
      <c r="F394" s="14">
        <f t="shared" si="6"/>
        <v>14.259399999999999</v>
      </c>
      <c r="G394" s="15">
        <f>Ocupados_Proy!$D$394</f>
        <v>198734</v>
      </c>
    </row>
    <row r="395" spans="1:7" ht="15" customHeight="1" x14ac:dyDescent="0.25">
      <c r="A395" s="6" t="s">
        <v>61</v>
      </c>
      <c r="B395" s="10">
        <v>2042</v>
      </c>
      <c r="C395" s="7">
        <v>62.245600000000003</v>
      </c>
      <c r="D395" s="7">
        <v>55.344099999999997</v>
      </c>
      <c r="E395" s="7">
        <v>70.0077</v>
      </c>
      <c r="F395" s="11">
        <f t="shared" si="6"/>
        <v>14.663600000000002</v>
      </c>
      <c r="G395" s="12">
        <f>Ocupados_Proy!$D$395</f>
        <v>276408</v>
      </c>
    </row>
  </sheetData>
  <mergeCells count="1">
    <mergeCell ref="A1:G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7AE60"/>
  </sheetPr>
  <dimension ref="A1:J395"/>
  <sheetViews>
    <sheetView showGridLines="0" workbookViewId="0">
      <selection sqref="A1:J2"/>
    </sheetView>
  </sheetViews>
  <sheetFormatPr baseColWidth="10" defaultColWidth="8.7109375" defaultRowHeight="15" x14ac:dyDescent="0.25"/>
  <cols>
    <col min="1" max="1" width="22" customWidth="1"/>
    <col min="2" max="2" width="8" customWidth="1"/>
    <col min="3" max="4" width="16" customWidth="1"/>
    <col min="5" max="5" width="20" customWidth="1"/>
    <col min="6" max="7" width="18" customWidth="1"/>
    <col min="8" max="9" width="22" customWidth="1"/>
    <col min="10" max="10" width="16" customWidth="1"/>
  </cols>
  <sheetData>
    <row r="1" spans="1:10" ht="30" customHeight="1" x14ac:dyDescent="0.25">
      <c r="A1" s="51" t="s">
        <v>69</v>
      </c>
      <c r="B1" s="44"/>
      <c r="C1" s="44"/>
      <c r="D1" s="44"/>
      <c r="E1" s="44"/>
      <c r="F1" s="44"/>
      <c r="G1" s="44"/>
      <c r="H1" s="44"/>
      <c r="I1" s="44"/>
      <c r="J1" s="44"/>
    </row>
    <row r="2" spans="1:10" x14ac:dyDescent="0.25">
      <c r="A2" s="44"/>
      <c r="B2" s="44"/>
      <c r="C2" s="44"/>
      <c r="D2" s="44"/>
      <c r="E2" s="44"/>
      <c r="F2" s="44"/>
      <c r="G2" s="44"/>
      <c r="H2" s="44"/>
      <c r="I2" s="44"/>
      <c r="J2" s="44"/>
    </row>
    <row r="3" spans="1:10" ht="30" customHeight="1" x14ac:dyDescent="0.25">
      <c r="A3" s="52" t="s">
        <v>70</v>
      </c>
      <c r="B3" s="44"/>
      <c r="C3" s="44"/>
      <c r="D3" s="44"/>
      <c r="E3" s="44"/>
      <c r="F3" s="44"/>
      <c r="G3" s="44"/>
      <c r="H3" s="44"/>
      <c r="I3" s="44"/>
      <c r="J3" s="44"/>
    </row>
    <row r="4" spans="1:10" ht="21.75" customHeight="1" x14ac:dyDescent="0.25">
      <c r="A4" s="5" t="s">
        <v>21</v>
      </c>
      <c r="B4" s="5" t="s">
        <v>63</v>
      </c>
      <c r="C4" s="5" t="s">
        <v>71</v>
      </c>
      <c r="D4" s="5" t="s">
        <v>68</v>
      </c>
      <c r="E4" s="5" t="s">
        <v>72</v>
      </c>
      <c r="F4" s="5" t="s">
        <v>73</v>
      </c>
      <c r="G4" s="5" t="s">
        <v>74</v>
      </c>
      <c r="H4" s="5" t="s">
        <v>75</v>
      </c>
      <c r="I4" s="5" t="s">
        <v>76</v>
      </c>
      <c r="J4" s="5" t="s">
        <v>77</v>
      </c>
    </row>
    <row r="5" spans="1:10" ht="15.75" customHeight="1" x14ac:dyDescent="0.25">
      <c r="A5" s="6" t="s">
        <v>39</v>
      </c>
      <c r="B5" s="10">
        <v>2026</v>
      </c>
      <c r="C5" s="12">
        <v>7945996</v>
      </c>
      <c r="D5" s="12">
        <v>5694816</v>
      </c>
      <c r="E5" s="11">
        <f>Tasas_Informalidad_Proy!$B$6</f>
        <v>41.394199999999998</v>
      </c>
      <c r="F5" s="12">
        <f t="shared" ref="F5:F68" si="0">D5*E5/100</f>
        <v>2357323.5246719997</v>
      </c>
      <c r="G5" s="12">
        <f t="shared" ref="G5:G68" si="1">D5*(1-E5/100)</f>
        <v>3337492.4753279998</v>
      </c>
      <c r="H5" s="16">
        <f>E5-'Historico_GEIH_2007-2026'!$M$6</f>
        <v>-1.2058000000000035</v>
      </c>
      <c r="I5" s="17">
        <f t="shared" ref="I5:I68" si="2">IF(C5&gt;0,D5/C5*100,"")</f>
        <v>71.669001595268867</v>
      </c>
      <c r="J5" s="17">
        <f t="shared" ref="J5:J68" si="3">IF(D5&gt;0,(C5-D5)/D5*100,"")</f>
        <v>39.530337766839175</v>
      </c>
    </row>
    <row r="6" spans="1:10" ht="15.75" customHeight="1" x14ac:dyDescent="0.25">
      <c r="A6" s="8" t="s">
        <v>40</v>
      </c>
      <c r="B6" s="13">
        <v>2026</v>
      </c>
      <c r="C6" s="15">
        <v>2526795</v>
      </c>
      <c r="D6" s="15">
        <v>1772378</v>
      </c>
      <c r="E6" s="14">
        <f>Tasas_Informalidad_Proy!$B$7</f>
        <v>41.671300000000002</v>
      </c>
      <c r="F6" s="15">
        <f t="shared" si="0"/>
        <v>738572.95351400005</v>
      </c>
      <c r="G6" s="15">
        <f t="shared" si="1"/>
        <v>1033805.0464859999</v>
      </c>
      <c r="H6" s="18">
        <f>E6-'Historico_GEIH_2007-2026'!$M$7</f>
        <v>-1.5287000000000006</v>
      </c>
      <c r="I6" s="19">
        <f t="shared" si="2"/>
        <v>70.14332385492294</v>
      </c>
      <c r="J6" s="19">
        <f t="shared" si="3"/>
        <v>42.565242854515233</v>
      </c>
    </row>
    <row r="7" spans="1:10" ht="15.75" customHeight="1" x14ac:dyDescent="0.25">
      <c r="A7" s="6" t="s">
        <v>41</v>
      </c>
      <c r="B7" s="10">
        <v>2026</v>
      </c>
      <c r="C7" s="12">
        <v>2269983</v>
      </c>
      <c r="D7" s="12">
        <v>1576113</v>
      </c>
      <c r="E7" s="11">
        <f>Tasas_Informalidad_Proy!$B$8</f>
        <v>48.813600000000001</v>
      </c>
      <c r="F7" s="12">
        <f t="shared" si="0"/>
        <v>769357.495368</v>
      </c>
      <c r="G7" s="12">
        <f t="shared" si="1"/>
        <v>806755.504632</v>
      </c>
      <c r="H7" s="16">
        <f>E7-'Historico_GEIH_2007-2026'!$M$8</f>
        <v>-1.4863999999999962</v>
      </c>
      <c r="I7" s="17">
        <f t="shared" si="2"/>
        <v>69.432810730300616</v>
      </c>
      <c r="J7" s="17">
        <f t="shared" si="3"/>
        <v>44.02412771165519</v>
      </c>
    </row>
    <row r="8" spans="1:10" ht="15.75" customHeight="1" x14ac:dyDescent="0.25">
      <c r="A8" s="8" t="s">
        <v>42</v>
      </c>
      <c r="B8" s="13">
        <v>2026</v>
      </c>
      <c r="C8" s="15">
        <v>1275854</v>
      </c>
      <c r="D8" s="15">
        <v>864371</v>
      </c>
      <c r="E8" s="14">
        <f>Tasas_Informalidad_Proy!$B$9</f>
        <v>55.180399999999999</v>
      </c>
      <c r="F8" s="15">
        <f t="shared" si="0"/>
        <v>476963.37528399995</v>
      </c>
      <c r="G8" s="15">
        <f t="shared" si="1"/>
        <v>387407.62471600005</v>
      </c>
      <c r="H8" s="18">
        <f>E8-'Historico_GEIH_2007-2026'!$M$9</f>
        <v>-1.0196000000000041</v>
      </c>
      <c r="I8" s="19">
        <f t="shared" si="2"/>
        <v>67.748425760314262</v>
      </c>
      <c r="J8" s="19">
        <f t="shared" si="3"/>
        <v>47.604905763844464</v>
      </c>
    </row>
    <row r="9" spans="1:10" ht="15.75" customHeight="1" x14ac:dyDescent="0.25">
      <c r="A9" s="6" t="s">
        <v>43</v>
      </c>
      <c r="B9" s="10">
        <v>2026</v>
      </c>
      <c r="C9" s="12">
        <v>618548</v>
      </c>
      <c r="D9" s="12">
        <v>424315</v>
      </c>
      <c r="E9" s="11">
        <f>Tasas_Informalidad_Proy!$B$10</f>
        <v>61.030500000000004</v>
      </c>
      <c r="F9" s="12">
        <f t="shared" si="0"/>
        <v>258961.56607500001</v>
      </c>
      <c r="G9" s="12">
        <f t="shared" si="1"/>
        <v>165353.43392500002</v>
      </c>
      <c r="H9" s="16">
        <f>E9-'Historico_GEIH_2007-2026'!$M$10</f>
        <v>-1.3694999999999951</v>
      </c>
      <c r="I9" s="17">
        <f t="shared" si="2"/>
        <v>68.598556619696453</v>
      </c>
      <c r="J9" s="17">
        <f t="shared" si="3"/>
        <v>45.775661949259394</v>
      </c>
    </row>
    <row r="10" spans="1:10" ht="15.75" customHeight="1" x14ac:dyDescent="0.25">
      <c r="A10" s="8" t="s">
        <v>44</v>
      </c>
      <c r="B10" s="13">
        <v>2026</v>
      </c>
      <c r="C10" s="15">
        <v>475690</v>
      </c>
      <c r="D10" s="15">
        <v>328451</v>
      </c>
      <c r="E10" s="14">
        <f>Tasas_Informalidad_Proy!$B$11</f>
        <v>48.596299999999999</v>
      </c>
      <c r="F10" s="15">
        <f t="shared" si="0"/>
        <v>159615.03331299999</v>
      </c>
      <c r="G10" s="15">
        <f t="shared" si="1"/>
        <v>168835.96668700004</v>
      </c>
      <c r="H10" s="18">
        <f>E10-'Historico_GEIH_2007-2026'!$M$11</f>
        <v>-1.3036999999999992</v>
      </c>
      <c r="I10" s="19">
        <f t="shared" si="2"/>
        <v>69.047278689903095</v>
      </c>
      <c r="J10" s="19">
        <f t="shared" si="3"/>
        <v>44.82830011173661</v>
      </c>
    </row>
    <row r="11" spans="1:10" ht="15.75" customHeight="1" x14ac:dyDescent="0.25">
      <c r="A11" s="6" t="s">
        <v>45</v>
      </c>
      <c r="B11" s="10">
        <v>2026</v>
      </c>
      <c r="C11" s="12">
        <v>404775</v>
      </c>
      <c r="D11" s="12">
        <v>288315</v>
      </c>
      <c r="E11" s="11">
        <f>Tasas_Informalidad_Proy!$B$12</f>
        <v>67.875399999999999</v>
      </c>
      <c r="F11" s="12">
        <f t="shared" si="0"/>
        <v>195694.95951000002</v>
      </c>
      <c r="G11" s="12">
        <f t="shared" si="1"/>
        <v>92620.040490000014</v>
      </c>
      <c r="H11" s="16">
        <f>E11-'Historico_GEIH_2007-2026'!$M$12</f>
        <v>-1.0246000000000066</v>
      </c>
      <c r="I11" s="17">
        <f t="shared" si="2"/>
        <v>71.228460255697613</v>
      </c>
      <c r="J11" s="17">
        <f t="shared" si="3"/>
        <v>40.393319806461683</v>
      </c>
    </row>
    <row r="12" spans="1:10" ht="15.75" customHeight="1" x14ac:dyDescent="0.25">
      <c r="A12" s="8" t="s">
        <v>46</v>
      </c>
      <c r="B12" s="13">
        <v>2026</v>
      </c>
      <c r="C12" s="15">
        <v>487820</v>
      </c>
      <c r="D12" s="15">
        <v>331654</v>
      </c>
      <c r="E12" s="14">
        <f>Tasas_Informalidad_Proy!$B$13</f>
        <v>56.505600000000001</v>
      </c>
      <c r="F12" s="15">
        <f t="shared" si="0"/>
        <v>187403.082624</v>
      </c>
      <c r="G12" s="15">
        <f t="shared" si="1"/>
        <v>144250.917376</v>
      </c>
      <c r="H12" s="18">
        <f>E12-'Historico_GEIH_2007-2026'!$M$13</f>
        <v>-0.99439999999999884</v>
      </c>
      <c r="I12" s="19">
        <f t="shared" si="2"/>
        <v>67.986962404165467</v>
      </c>
      <c r="J12" s="19">
        <f t="shared" si="3"/>
        <v>47.087024429073672</v>
      </c>
    </row>
    <row r="13" spans="1:10" ht="15.75" customHeight="1" x14ac:dyDescent="0.25">
      <c r="A13" s="6" t="s">
        <v>47</v>
      </c>
      <c r="B13" s="10">
        <v>2026</v>
      </c>
      <c r="C13" s="12">
        <v>792180</v>
      </c>
      <c r="D13" s="12">
        <v>548702</v>
      </c>
      <c r="E13" s="11">
        <f>Tasas_Informalidad_Proy!$B$14</f>
        <v>69.036199999999994</v>
      </c>
      <c r="F13" s="12">
        <f t="shared" si="0"/>
        <v>378803.01012399996</v>
      </c>
      <c r="G13" s="12">
        <f t="shared" si="1"/>
        <v>169898.98987600004</v>
      </c>
      <c r="H13" s="16">
        <f>E13-'Historico_GEIH_2007-2026'!$M$14</f>
        <v>-1.2638000000000034</v>
      </c>
      <c r="I13" s="17">
        <f t="shared" si="2"/>
        <v>69.264813552475445</v>
      </c>
      <c r="J13" s="17">
        <f t="shared" si="3"/>
        <v>44.373448611450293</v>
      </c>
    </row>
    <row r="14" spans="1:10" ht="15.75" customHeight="1" x14ac:dyDescent="0.25">
      <c r="A14" s="8" t="s">
        <v>48</v>
      </c>
      <c r="B14" s="13">
        <v>2026</v>
      </c>
      <c r="C14" s="15">
        <v>557317</v>
      </c>
      <c r="D14" s="15">
        <v>378451</v>
      </c>
      <c r="E14" s="14">
        <f>Tasas_Informalidad_Proy!$B$15</f>
        <v>59.751800000000003</v>
      </c>
      <c r="F14" s="15">
        <f t="shared" si="0"/>
        <v>226131.28461800001</v>
      </c>
      <c r="G14" s="15">
        <f t="shared" si="1"/>
        <v>152319.71538199999</v>
      </c>
      <c r="H14" s="18">
        <f>E14-'Historico_GEIH_2007-2026'!$M$15</f>
        <v>-0.74819999999999709</v>
      </c>
      <c r="I14" s="19">
        <f t="shared" si="2"/>
        <v>67.90587762440407</v>
      </c>
      <c r="J14" s="19">
        <f t="shared" si="3"/>
        <v>47.262657517089394</v>
      </c>
    </row>
    <row r="15" spans="1:10" ht="15.75" customHeight="1" x14ac:dyDescent="0.25">
      <c r="A15" s="6" t="s">
        <v>49</v>
      </c>
      <c r="B15" s="10">
        <v>2026</v>
      </c>
      <c r="C15" s="12">
        <v>585029</v>
      </c>
      <c r="D15" s="12">
        <v>390914</v>
      </c>
      <c r="E15" s="11">
        <f>Tasas_Informalidad_Proy!$B$16</f>
        <v>73.328000000000003</v>
      </c>
      <c r="F15" s="12">
        <f t="shared" si="0"/>
        <v>286649.41791999998</v>
      </c>
      <c r="G15" s="12">
        <f t="shared" si="1"/>
        <v>104264.58207999998</v>
      </c>
      <c r="H15" s="16">
        <f>E15-'Historico_GEIH_2007-2026'!$M$16</f>
        <v>-1.0720000000000027</v>
      </c>
      <c r="I15" s="17">
        <f t="shared" si="2"/>
        <v>66.81959355860991</v>
      </c>
      <c r="J15" s="17">
        <f t="shared" si="3"/>
        <v>49.656701985602972</v>
      </c>
    </row>
    <row r="16" spans="1:10" ht="15.75" customHeight="1" x14ac:dyDescent="0.25">
      <c r="A16" s="8" t="s">
        <v>50</v>
      </c>
      <c r="B16" s="13">
        <v>2026</v>
      </c>
      <c r="C16" s="15">
        <v>1010995</v>
      </c>
      <c r="D16" s="15">
        <v>673241</v>
      </c>
      <c r="E16" s="14">
        <f>Tasas_Informalidad_Proy!$B$17</f>
        <v>55.1</v>
      </c>
      <c r="F16" s="15">
        <f t="shared" si="0"/>
        <v>370955.79100000003</v>
      </c>
      <c r="G16" s="15">
        <f t="shared" si="1"/>
        <v>302285.20899999997</v>
      </c>
      <c r="H16" s="18">
        <f>E16-'Historico_GEIH_2007-2026'!$M$17</f>
        <v>-1</v>
      </c>
      <c r="I16" s="19">
        <f t="shared" si="2"/>
        <v>66.591921819593566</v>
      </c>
      <c r="J16" s="19">
        <f t="shared" si="3"/>
        <v>50.168364671789156</v>
      </c>
    </row>
    <row r="17" spans="1:10" ht="15.75" customHeight="1" x14ac:dyDescent="0.25">
      <c r="A17" s="6" t="s">
        <v>51</v>
      </c>
      <c r="B17" s="10">
        <v>2026</v>
      </c>
      <c r="C17" s="12">
        <v>588645</v>
      </c>
      <c r="D17" s="12">
        <v>409780</v>
      </c>
      <c r="E17" s="11">
        <f>Tasas_Informalidad_Proy!$B$18</f>
        <v>60.312600000000003</v>
      </c>
      <c r="F17" s="12">
        <f t="shared" si="0"/>
        <v>247148.97227999999</v>
      </c>
      <c r="G17" s="12">
        <f t="shared" si="1"/>
        <v>162631.02771999998</v>
      </c>
      <c r="H17" s="16">
        <f>E17-'Historico_GEIH_2007-2026'!$M$18</f>
        <v>-0.98739999999999384</v>
      </c>
      <c r="I17" s="17">
        <f t="shared" si="2"/>
        <v>69.614113769759371</v>
      </c>
      <c r="J17" s="17">
        <f t="shared" si="3"/>
        <v>43.649031187466449</v>
      </c>
    </row>
    <row r="18" spans="1:10" ht="15.75" customHeight="1" x14ac:dyDescent="0.25">
      <c r="A18" s="8" t="s">
        <v>52</v>
      </c>
      <c r="B18" s="13">
        <v>2026</v>
      </c>
      <c r="C18" s="15">
        <v>191372</v>
      </c>
      <c r="D18" s="15">
        <v>136338</v>
      </c>
      <c r="E18" s="14">
        <f>Tasas_Informalidad_Proy!$B$19</f>
        <v>60.179699999999997</v>
      </c>
      <c r="F18" s="15">
        <f t="shared" si="0"/>
        <v>82047.799385999999</v>
      </c>
      <c r="G18" s="15">
        <f t="shared" si="1"/>
        <v>54290.200614000008</v>
      </c>
      <c r="H18" s="18">
        <f>E18-'Historico_GEIH_2007-2026'!$M$19</f>
        <v>-1.020300000000006</v>
      </c>
      <c r="I18" s="19">
        <f t="shared" si="2"/>
        <v>71.242397006876658</v>
      </c>
      <c r="J18" s="19">
        <f t="shared" si="3"/>
        <v>40.365855447490794</v>
      </c>
    </row>
    <row r="19" spans="1:10" ht="15.75" customHeight="1" x14ac:dyDescent="0.25">
      <c r="A19" s="6" t="s">
        <v>53</v>
      </c>
      <c r="B19" s="10">
        <v>2026</v>
      </c>
      <c r="C19" s="12">
        <v>188620</v>
      </c>
      <c r="D19" s="12">
        <v>129659</v>
      </c>
      <c r="E19" s="11">
        <f>Tasas_Informalidad_Proy!$B$20</f>
        <v>74.556399999999996</v>
      </c>
      <c r="F19" s="12">
        <f t="shared" si="0"/>
        <v>96669.082676000005</v>
      </c>
      <c r="G19" s="12">
        <f t="shared" si="1"/>
        <v>32989.917324000002</v>
      </c>
      <c r="H19" s="16">
        <f>E19-'Historico_GEIH_2007-2026'!$M$20</f>
        <v>-0.94360000000000355</v>
      </c>
      <c r="I19" s="17">
        <f t="shared" si="2"/>
        <v>68.740854628353304</v>
      </c>
      <c r="J19" s="17">
        <f t="shared" si="3"/>
        <v>45.473896914213434</v>
      </c>
    </row>
    <row r="20" spans="1:10" ht="15.75" customHeight="1" x14ac:dyDescent="0.25">
      <c r="A20" s="8" t="s">
        <v>54</v>
      </c>
      <c r="B20" s="13">
        <v>2026</v>
      </c>
      <c r="C20" s="15">
        <v>355347</v>
      </c>
      <c r="D20" s="15">
        <v>248848</v>
      </c>
      <c r="E20" s="14">
        <f>Tasas_Informalidad_Proy!$B$21</f>
        <v>68.081000000000003</v>
      </c>
      <c r="F20" s="15">
        <f t="shared" si="0"/>
        <v>169418.20688000001</v>
      </c>
      <c r="G20" s="15">
        <f t="shared" si="1"/>
        <v>79429.793119999988</v>
      </c>
      <c r="H20" s="18">
        <f>E20-'Historico_GEIH_2007-2026'!$M$21</f>
        <v>-0.91899999999999693</v>
      </c>
      <c r="I20" s="19">
        <f t="shared" si="2"/>
        <v>70.029576723596932</v>
      </c>
      <c r="J20" s="19">
        <f t="shared" si="3"/>
        <v>42.796807689834758</v>
      </c>
    </row>
    <row r="21" spans="1:10" ht="15.75" customHeight="1" x14ac:dyDescent="0.25">
      <c r="A21" s="6" t="s">
        <v>55</v>
      </c>
      <c r="B21" s="10">
        <v>2026</v>
      </c>
      <c r="C21" s="12">
        <v>629217</v>
      </c>
      <c r="D21" s="12">
        <v>421498</v>
      </c>
      <c r="E21" s="11">
        <f>Tasas_Informalidad_Proy!$B$22</f>
        <v>66.617900000000006</v>
      </c>
      <c r="F21" s="12">
        <f t="shared" si="0"/>
        <v>280793.11614200001</v>
      </c>
      <c r="G21" s="12">
        <f t="shared" si="1"/>
        <v>140704.88385799996</v>
      </c>
      <c r="H21" s="16">
        <f>E21-'Historico_GEIH_2007-2026'!$M$22</f>
        <v>-0.98209999999998843</v>
      </c>
      <c r="I21" s="17">
        <f t="shared" si="2"/>
        <v>66.987700586602088</v>
      </c>
      <c r="J21" s="17">
        <f t="shared" si="3"/>
        <v>49.281135379052813</v>
      </c>
    </row>
    <row r="22" spans="1:10" ht="15.75" customHeight="1" x14ac:dyDescent="0.25">
      <c r="A22" s="8" t="s">
        <v>56</v>
      </c>
      <c r="B22" s="13">
        <v>2026</v>
      </c>
      <c r="C22" s="15">
        <v>143332</v>
      </c>
      <c r="D22" s="15">
        <v>95484</v>
      </c>
      <c r="E22" s="14">
        <f>Tasas_Informalidad_Proy!$B$23</f>
        <v>77.569900000000004</v>
      </c>
      <c r="F22" s="15">
        <f t="shared" si="0"/>
        <v>74066.843315999999</v>
      </c>
      <c r="G22" s="15">
        <f t="shared" si="1"/>
        <v>21417.156683999998</v>
      </c>
      <c r="H22" s="18">
        <f>E22-'Historico_GEIH_2007-2026'!$M$23</f>
        <v>-0.93009999999999593</v>
      </c>
      <c r="I22" s="19">
        <f t="shared" si="2"/>
        <v>66.617363882454711</v>
      </c>
      <c r="J22" s="19">
        <f t="shared" si="3"/>
        <v>50.111013363495459</v>
      </c>
    </row>
    <row r="23" spans="1:10" ht="15.75" customHeight="1" x14ac:dyDescent="0.25">
      <c r="A23" s="6" t="s">
        <v>57</v>
      </c>
      <c r="B23" s="10">
        <v>2026</v>
      </c>
      <c r="C23" s="12">
        <v>408218</v>
      </c>
      <c r="D23" s="12">
        <v>276241</v>
      </c>
      <c r="E23" s="11">
        <f>Tasas_Informalidad_Proy!$B$24</f>
        <v>64.015100000000004</v>
      </c>
      <c r="F23" s="12">
        <f t="shared" si="0"/>
        <v>176835.95239100003</v>
      </c>
      <c r="G23" s="12">
        <f t="shared" si="1"/>
        <v>99405.047608999987</v>
      </c>
      <c r="H23" s="16">
        <f>E23-'Historico_GEIH_2007-2026'!$M$24</f>
        <v>-0.98489999999999611</v>
      </c>
      <c r="I23" s="17">
        <f t="shared" si="2"/>
        <v>67.669970456961721</v>
      </c>
      <c r="J23" s="17">
        <f t="shared" si="3"/>
        <v>47.776036142353959</v>
      </c>
    </row>
    <row r="24" spans="1:10" ht="15.75" customHeight="1" x14ac:dyDescent="0.25">
      <c r="A24" s="8" t="s">
        <v>58</v>
      </c>
      <c r="B24" s="13">
        <v>2026</v>
      </c>
      <c r="C24" s="15">
        <v>211811</v>
      </c>
      <c r="D24" s="15">
        <v>137916</v>
      </c>
      <c r="E24" s="14">
        <f>Tasas_Informalidad_Proy!$B$25</f>
        <v>72.313599999999994</v>
      </c>
      <c r="F24" s="15">
        <f t="shared" si="0"/>
        <v>99732.024575999996</v>
      </c>
      <c r="G24" s="15">
        <f t="shared" si="1"/>
        <v>38183.975424000018</v>
      </c>
      <c r="H24" s="18">
        <f>E24-'Historico_GEIH_2007-2026'!$M$25</f>
        <v>-0.98640000000000327</v>
      </c>
      <c r="I24" s="19">
        <f t="shared" si="2"/>
        <v>65.112765625958986</v>
      </c>
      <c r="J24" s="19">
        <f t="shared" si="3"/>
        <v>53.579715188955603</v>
      </c>
    </row>
    <row r="25" spans="1:10" ht="15.75" customHeight="1" x14ac:dyDescent="0.25">
      <c r="A25" s="6" t="s">
        <v>59</v>
      </c>
      <c r="B25" s="10">
        <v>2026</v>
      </c>
      <c r="C25" s="12">
        <v>588662</v>
      </c>
      <c r="D25" s="12">
        <v>402356</v>
      </c>
      <c r="E25" s="11">
        <f>Tasas_Informalidad_Proy!$B$26</f>
        <v>57.702300000000001</v>
      </c>
      <c r="F25" s="12">
        <f t="shared" si="0"/>
        <v>232168.666188</v>
      </c>
      <c r="G25" s="12">
        <f t="shared" si="1"/>
        <v>170187.33381199997</v>
      </c>
      <c r="H25" s="16">
        <f>E25-'Historico_GEIH_2007-2026'!$M$26</f>
        <v>-0.99770000000000181</v>
      </c>
      <c r="I25" s="17">
        <f t="shared" si="2"/>
        <v>68.350938229408385</v>
      </c>
      <c r="J25" s="17">
        <f t="shared" si="3"/>
        <v>46.303770790046627</v>
      </c>
    </row>
    <row r="26" spans="1:10" ht="15.75" customHeight="1" x14ac:dyDescent="0.25">
      <c r="A26" s="8" t="s">
        <v>60</v>
      </c>
      <c r="B26" s="13">
        <v>2026</v>
      </c>
      <c r="C26" s="15">
        <v>307103</v>
      </c>
      <c r="D26" s="15">
        <v>208250</v>
      </c>
      <c r="E26" s="14">
        <f>Tasas_Informalidad_Proy!$B$27</f>
        <v>53.908200000000001</v>
      </c>
      <c r="F26" s="15">
        <f t="shared" si="0"/>
        <v>112263.82650000001</v>
      </c>
      <c r="G26" s="15">
        <f t="shared" si="1"/>
        <v>95986.17349999999</v>
      </c>
      <c r="H26" s="18">
        <f>E26-'Historico_GEIH_2007-2026'!$M$27</f>
        <v>-1.0917999999999992</v>
      </c>
      <c r="I26" s="19">
        <f t="shared" si="2"/>
        <v>67.811125257649721</v>
      </c>
      <c r="J26" s="19">
        <f t="shared" si="3"/>
        <v>47.468427370948376</v>
      </c>
    </row>
    <row r="27" spans="1:10" ht="15.75" customHeight="1" x14ac:dyDescent="0.25">
      <c r="A27" s="6" t="s">
        <v>61</v>
      </c>
      <c r="B27" s="10">
        <v>2026</v>
      </c>
      <c r="C27" s="12">
        <v>331045</v>
      </c>
      <c r="D27" s="12">
        <v>221871</v>
      </c>
      <c r="E27" s="11">
        <f>Tasas_Informalidad_Proy!$B$28</f>
        <v>67.290700000000001</v>
      </c>
      <c r="F27" s="12">
        <f t="shared" si="0"/>
        <v>149298.54899700001</v>
      </c>
      <c r="G27" s="12">
        <f t="shared" si="1"/>
        <v>72572.451002999995</v>
      </c>
      <c r="H27" s="16">
        <f>E27-'Historico_GEIH_2007-2026'!$M$28</f>
        <v>-1.0092999999999961</v>
      </c>
      <c r="I27" s="17">
        <f t="shared" si="2"/>
        <v>67.021401924209698</v>
      </c>
      <c r="J27" s="17">
        <f t="shared" si="3"/>
        <v>49.206070193941528</v>
      </c>
    </row>
    <row r="28" spans="1:10" ht="15.75" customHeight="1" x14ac:dyDescent="0.25">
      <c r="A28" s="6" t="s">
        <v>39</v>
      </c>
      <c r="B28" s="10">
        <v>2027</v>
      </c>
      <c r="C28" s="12">
        <v>7943941</v>
      </c>
      <c r="D28" s="12">
        <v>5690929</v>
      </c>
      <c r="E28" s="11">
        <f>Tasas_Informalidad_Proy!$C$6</f>
        <v>41.072000000000003</v>
      </c>
      <c r="F28" s="12">
        <f t="shared" si="0"/>
        <v>2337378.3588800002</v>
      </c>
      <c r="G28" s="12">
        <f t="shared" si="1"/>
        <v>3353550.6411200003</v>
      </c>
      <c r="H28" s="16">
        <f>E28-'Historico_GEIH_2007-2026'!$M$6</f>
        <v>-1.5279999999999987</v>
      </c>
      <c r="I28" s="17">
        <f t="shared" si="2"/>
        <v>71.638611112544766</v>
      </c>
      <c r="J28" s="17">
        <f t="shared" si="3"/>
        <v>39.589529231519144</v>
      </c>
    </row>
    <row r="29" spans="1:10" ht="15.75" customHeight="1" x14ac:dyDescent="0.25">
      <c r="A29" s="8" t="s">
        <v>40</v>
      </c>
      <c r="B29" s="13">
        <v>2027</v>
      </c>
      <c r="C29" s="15">
        <v>2524037</v>
      </c>
      <c r="D29" s="15">
        <v>1766956</v>
      </c>
      <c r="E29" s="14">
        <f>Tasas_Informalidad_Proy!$C$7</f>
        <v>41.261600000000001</v>
      </c>
      <c r="F29" s="15">
        <f t="shared" si="0"/>
        <v>729074.31689600006</v>
      </c>
      <c r="G29" s="15">
        <f t="shared" si="1"/>
        <v>1037881.6831039998</v>
      </c>
      <c r="H29" s="18">
        <f>E29-'Historico_GEIH_2007-2026'!$M$7</f>
        <v>-1.9384000000000015</v>
      </c>
      <c r="I29" s="19">
        <f t="shared" si="2"/>
        <v>70.00515444107991</v>
      </c>
      <c r="J29" s="19">
        <f t="shared" si="3"/>
        <v>42.846624364160732</v>
      </c>
    </row>
    <row r="30" spans="1:10" ht="15.75" customHeight="1" x14ac:dyDescent="0.25">
      <c r="A30" s="6" t="s">
        <v>41</v>
      </c>
      <c r="B30" s="10">
        <v>2027</v>
      </c>
      <c r="C30" s="12">
        <v>2261787</v>
      </c>
      <c r="D30" s="12">
        <v>1568387</v>
      </c>
      <c r="E30" s="11">
        <f>Tasas_Informalidad_Proy!$C$8</f>
        <v>48.432699999999997</v>
      </c>
      <c r="F30" s="12">
        <f t="shared" si="0"/>
        <v>759612.17054899991</v>
      </c>
      <c r="G30" s="12">
        <f t="shared" si="1"/>
        <v>808774.82945100009</v>
      </c>
      <c r="H30" s="16">
        <f>E30-'Historico_GEIH_2007-2026'!$M$8</f>
        <v>-1.8673000000000002</v>
      </c>
      <c r="I30" s="17">
        <f t="shared" si="2"/>
        <v>69.34282494328599</v>
      </c>
      <c r="J30" s="17">
        <f t="shared" si="3"/>
        <v>44.211026997800921</v>
      </c>
    </row>
    <row r="31" spans="1:10" ht="15.75" customHeight="1" x14ac:dyDescent="0.25">
      <c r="A31" s="8" t="s">
        <v>42</v>
      </c>
      <c r="B31" s="13">
        <v>2027</v>
      </c>
      <c r="C31" s="15">
        <v>1271416</v>
      </c>
      <c r="D31" s="15">
        <v>861851</v>
      </c>
      <c r="E31" s="14">
        <f>Tasas_Informalidad_Proy!$C$9</f>
        <v>54.851599999999998</v>
      </c>
      <c r="F31" s="15">
        <f t="shared" si="0"/>
        <v>472739.06311599998</v>
      </c>
      <c r="G31" s="15">
        <f t="shared" si="1"/>
        <v>389111.93688400002</v>
      </c>
      <c r="H31" s="18">
        <f>E31-'Historico_GEIH_2007-2026'!$M$9</f>
        <v>-1.3484000000000052</v>
      </c>
      <c r="I31" s="19">
        <f t="shared" si="2"/>
        <v>67.786703958421157</v>
      </c>
      <c r="J31" s="19">
        <f t="shared" si="3"/>
        <v>47.521555350054705</v>
      </c>
    </row>
    <row r="32" spans="1:10" ht="15.75" customHeight="1" x14ac:dyDescent="0.25">
      <c r="A32" s="6" t="s">
        <v>43</v>
      </c>
      <c r="B32" s="10">
        <v>2027</v>
      </c>
      <c r="C32" s="12">
        <v>619155</v>
      </c>
      <c r="D32" s="12">
        <v>424405</v>
      </c>
      <c r="E32" s="11">
        <f>Tasas_Informalidad_Proy!$C$10</f>
        <v>60.6248</v>
      </c>
      <c r="F32" s="12">
        <f t="shared" si="0"/>
        <v>257294.68244</v>
      </c>
      <c r="G32" s="12">
        <f t="shared" si="1"/>
        <v>167110.31756</v>
      </c>
      <c r="H32" s="16">
        <f>E32-'Historico_GEIH_2007-2026'!$M$10</f>
        <v>-1.7751999999999981</v>
      </c>
      <c r="I32" s="17">
        <f t="shared" si="2"/>
        <v>68.545840702247418</v>
      </c>
      <c r="J32" s="17">
        <f t="shared" si="3"/>
        <v>45.887772292974873</v>
      </c>
    </row>
    <row r="33" spans="1:10" ht="15.75" customHeight="1" x14ac:dyDescent="0.25">
      <c r="A33" s="8" t="s">
        <v>44</v>
      </c>
      <c r="B33" s="13">
        <v>2027</v>
      </c>
      <c r="C33" s="15">
        <v>479109</v>
      </c>
      <c r="D33" s="15">
        <v>330248</v>
      </c>
      <c r="E33" s="14">
        <f>Tasas_Informalidad_Proy!$C$11</f>
        <v>48.227400000000003</v>
      </c>
      <c r="F33" s="15">
        <f t="shared" si="0"/>
        <v>159270.02395200002</v>
      </c>
      <c r="G33" s="15">
        <f t="shared" si="1"/>
        <v>170977.97604799998</v>
      </c>
      <c r="H33" s="18">
        <f>E33-'Historico_GEIH_2007-2026'!$M$11</f>
        <v>-1.6725999999999956</v>
      </c>
      <c r="I33" s="19">
        <f t="shared" si="2"/>
        <v>68.929617268721728</v>
      </c>
      <c r="J33" s="19">
        <f t="shared" si="3"/>
        <v>45.075519003900098</v>
      </c>
    </row>
    <row r="34" spans="1:10" ht="15.75" customHeight="1" x14ac:dyDescent="0.25">
      <c r="A34" s="6" t="s">
        <v>45</v>
      </c>
      <c r="B34" s="10">
        <v>2027</v>
      </c>
      <c r="C34" s="12">
        <v>405306</v>
      </c>
      <c r="D34" s="12">
        <v>289337</v>
      </c>
      <c r="E34" s="11">
        <f>Tasas_Informalidad_Proy!$C$12</f>
        <v>67.582599999999999</v>
      </c>
      <c r="F34" s="12">
        <f t="shared" si="0"/>
        <v>195541.46736200002</v>
      </c>
      <c r="G34" s="12">
        <f t="shared" si="1"/>
        <v>93795.53263799999</v>
      </c>
      <c r="H34" s="16">
        <f>E34-'Historico_GEIH_2007-2026'!$M$12</f>
        <v>-1.3174000000000063</v>
      </c>
      <c r="I34" s="17">
        <f t="shared" si="2"/>
        <v>71.387297498680013</v>
      </c>
      <c r="J34" s="17">
        <f t="shared" si="3"/>
        <v>40.080943674676931</v>
      </c>
    </row>
    <row r="35" spans="1:10" ht="15.75" customHeight="1" x14ac:dyDescent="0.25">
      <c r="A35" s="8" t="s">
        <v>46</v>
      </c>
      <c r="B35" s="13">
        <v>2027</v>
      </c>
      <c r="C35" s="15">
        <v>488044</v>
      </c>
      <c r="D35" s="15">
        <v>331418</v>
      </c>
      <c r="E35" s="14">
        <f>Tasas_Informalidad_Proy!$C$13</f>
        <v>56.1586</v>
      </c>
      <c r="F35" s="15">
        <f t="shared" si="0"/>
        <v>186119.70894799998</v>
      </c>
      <c r="G35" s="15">
        <f t="shared" si="1"/>
        <v>145298.29105199999</v>
      </c>
      <c r="H35" s="18">
        <f>E35-'Historico_GEIH_2007-2026'!$M$13</f>
        <v>-1.3414000000000001</v>
      </c>
      <c r="I35" s="19">
        <f t="shared" si="2"/>
        <v>67.907401791641746</v>
      </c>
      <c r="J35" s="19">
        <f t="shared" si="3"/>
        <v>47.259352237959313</v>
      </c>
    </row>
    <row r="36" spans="1:10" ht="15.75" customHeight="1" x14ac:dyDescent="0.25">
      <c r="A36" s="6" t="s">
        <v>47</v>
      </c>
      <c r="B36" s="10">
        <v>2027</v>
      </c>
      <c r="C36" s="12">
        <v>790552</v>
      </c>
      <c r="D36" s="12">
        <v>548829</v>
      </c>
      <c r="E36" s="11">
        <f>Tasas_Informalidad_Proy!$C$14</f>
        <v>68.644999999999996</v>
      </c>
      <c r="F36" s="12">
        <f t="shared" si="0"/>
        <v>376743.66704999999</v>
      </c>
      <c r="G36" s="12">
        <f t="shared" si="1"/>
        <v>172085.33295000001</v>
      </c>
      <c r="H36" s="16">
        <f>E36-'Historico_GEIH_2007-2026'!$M$14</f>
        <v>-1.6550000000000011</v>
      </c>
      <c r="I36" s="17">
        <f t="shared" si="2"/>
        <v>69.423516732612143</v>
      </c>
      <c r="J36" s="17">
        <f t="shared" si="3"/>
        <v>44.043408784885642</v>
      </c>
    </row>
    <row r="37" spans="1:10" ht="15.75" customHeight="1" x14ac:dyDescent="0.25">
      <c r="A37" s="8" t="s">
        <v>48</v>
      </c>
      <c r="B37" s="13">
        <v>2027</v>
      </c>
      <c r="C37" s="15">
        <v>559515</v>
      </c>
      <c r="D37" s="15">
        <v>379844</v>
      </c>
      <c r="E37" s="14">
        <f>Tasas_Informalidad_Proy!$C$15</f>
        <v>59.4373</v>
      </c>
      <c r="F37" s="15">
        <f t="shared" si="0"/>
        <v>225769.01781200001</v>
      </c>
      <c r="G37" s="15">
        <f t="shared" si="1"/>
        <v>154074.98218799999</v>
      </c>
      <c r="H37" s="18">
        <f>E37-'Historico_GEIH_2007-2026'!$M$15</f>
        <v>-1.0626999999999995</v>
      </c>
      <c r="I37" s="19">
        <f t="shared" si="2"/>
        <v>67.888081642136484</v>
      </c>
      <c r="J37" s="19">
        <f t="shared" si="3"/>
        <v>47.301260517475598</v>
      </c>
    </row>
    <row r="38" spans="1:10" ht="15.75" customHeight="1" x14ac:dyDescent="0.25">
      <c r="A38" s="6" t="s">
        <v>49</v>
      </c>
      <c r="B38" s="10">
        <v>2027</v>
      </c>
      <c r="C38" s="12">
        <v>595299</v>
      </c>
      <c r="D38" s="12">
        <v>398865</v>
      </c>
      <c r="E38" s="11">
        <f>Tasas_Informalidad_Proy!$C$16</f>
        <v>72.984499999999997</v>
      </c>
      <c r="F38" s="12">
        <f t="shared" si="0"/>
        <v>291109.625925</v>
      </c>
      <c r="G38" s="12">
        <f t="shared" si="1"/>
        <v>107755.37407500001</v>
      </c>
      <c r="H38" s="16">
        <f>E38-'Historico_GEIH_2007-2026'!$M$16</f>
        <v>-1.4155000000000086</v>
      </c>
      <c r="I38" s="17">
        <f t="shared" si="2"/>
        <v>67.002464307852023</v>
      </c>
      <c r="J38" s="17">
        <f t="shared" si="3"/>
        <v>49.248241886352524</v>
      </c>
    </row>
    <row r="39" spans="1:10" ht="15.75" customHeight="1" x14ac:dyDescent="0.25">
      <c r="A39" s="8" t="s">
        <v>50</v>
      </c>
      <c r="B39" s="13">
        <v>2027</v>
      </c>
      <c r="C39" s="15">
        <v>1010001</v>
      </c>
      <c r="D39" s="15">
        <v>673082</v>
      </c>
      <c r="E39" s="14">
        <f>Tasas_Informalidad_Proy!$C$17</f>
        <v>54.784399999999998</v>
      </c>
      <c r="F39" s="15">
        <f t="shared" si="0"/>
        <v>368743.93520800001</v>
      </c>
      <c r="G39" s="15">
        <f t="shared" si="1"/>
        <v>304338.06479199999</v>
      </c>
      <c r="H39" s="18">
        <f>E39-'Historico_GEIH_2007-2026'!$M$17</f>
        <v>-1.3156000000000034</v>
      </c>
      <c r="I39" s="19">
        <f t="shared" si="2"/>
        <v>66.641716196320601</v>
      </c>
      <c r="J39" s="19">
        <f t="shared" si="3"/>
        <v>50.05615957639634</v>
      </c>
    </row>
    <row r="40" spans="1:10" ht="15.75" customHeight="1" x14ac:dyDescent="0.25">
      <c r="A40" s="6" t="s">
        <v>51</v>
      </c>
      <c r="B40" s="10">
        <v>2027</v>
      </c>
      <c r="C40" s="12">
        <v>592656</v>
      </c>
      <c r="D40" s="12">
        <v>413292</v>
      </c>
      <c r="E40" s="11">
        <f>Tasas_Informalidad_Proy!$C$18</f>
        <v>59.988500000000002</v>
      </c>
      <c r="F40" s="12">
        <f t="shared" si="0"/>
        <v>247927.67142</v>
      </c>
      <c r="G40" s="12">
        <f t="shared" si="1"/>
        <v>165364.32858</v>
      </c>
      <c r="H40" s="16">
        <f>E40-'Historico_GEIH_2007-2026'!$M$18</f>
        <v>-1.3114999999999952</v>
      </c>
      <c r="I40" s="17">
        <f t="shared" si="2"/>
        <v>69.73556329472747</v>
      </c>
      <c r="J40" s="17">
        <f t="shared" si="3"/>
        <v>43.398856014633722</v>
      </c>
    </row>
    <row r="41" spans="1:10" ht="15.75" customHeight="1" x14ac:dyDescent="0.25">
      <c r="A41" s="8" t="s">
        <v>52</v>
      </c>
      <c r="B41" s="13">
        <v>2027</v>
      </c>
      <c r="C41" s="15">
        <v>193090</v>
      </c>
      <c r="D41" s="15">
        <v>137750</v>
      </c>
      <c r="E41" s="14">
        <f>Tasas_Informalidad_Proy!$C$19</f>
        <v>59.8688</v>
      </c>
      <c r="F41" s="15">
        <f t="shared" si="0"/>
        <v>82469.271999999997</v>
      </c>
      <c r="G41" s="15">
        <f t="shared" si="1"/>
        <v>55280.728000000003</v>
      </c>
      <c r="H41" s="18">
        <f>E41-'Historico_GEIH_2007-2026'!$M$19</f>
        <v>-1.3312000000000026</v>
      </c>
      <c r="I41" s="19">
        <f t="shared" si="2"/>
        <v>71.339789735356575</v>
      </c>
      <c r="J41" s="19">
        <f t="shared" si="3"/>
        <v>40.174228675136114</v>
      </c>
    </row>
    <row r="42" spans="1:10" ht="15.75" customHeight="1" x14ac:dyDescent="0.25">
      <c r="A42" s="6" t="s">
        <v>53</v>
      </c>
      <c r="B42" s="10">
        <v>2027</v>
      </c>
      <c r="C42" s="12">
        <v>190630</v>
      </c>
      <c r="D42" s="12">
        <v>131492</v>
      </c>
      <c r="E42" s="11">
        <f>Tasas_Informalidad_Proy!$C$20</f>
        <v>74.225999999999999</v>
      </c>
      <c r="F42" s="12">
        <f t="shared" si="0"/>
        <v>97601.251919999995</v>
      </c>
      <c r="G42" s="12">
        <f t="shared" si="1"/>
        <v>33890.748079999998</v>
      </c>
      <c r="H42" s="16">
        <f>E42-'Historico_GEIH_2007-2026'!$M$20</f>
        <v>-1.2740000000000009</v>
      </c>
      <c r="I42" s="17">
        <f t="shared" si="2"/>
        <v>68.977600587525572</v>
      </c>
      <c r="J42" s="17">
        <f t="shared" si="3"/>
        <v>44.974599215161376</v>
      </c>
    </row>
    <row r="43" spans="1:10" ht="15.75" customHeight="1" x14ac:dyDescent="0.25">
      <c r="A43" s="8" t="s">
        <v>54</v>
      </c>
      <c r="B43" s="13">
        <v>2027</v>
      </c>
      <c r="C43" s="15">
        <v>358356</v>
      </c>
      <c r="D43" s="15">
        <v>251108</v>
      </c>
      <c r="E43" s="14">
        <f>Tasas_Informalidad_Proy!$C$21</f>
        <v>67.763000000000005</v>
      </c>
      <c r="F43" s="15">
        <f t="shared" si="0"/>
        <v>170158.31404000003</v>
      </c>
      <c r="G43" s="15">
        <f t="shared" si="1"/>
        <v>80949.685959999988</v>
      </c>
      <c r="H43" s="18">
        <f>E43-'Historico_GEIH_2007-2026'!$M$21</f>
        <v>-1.2369999999999948</v>
      </c>
      <c r="I43" s="19">
        <f t="shared" si="2"/>
        <v>70.072218687562099</v>
      </c>
      <c r="J43" s="19">
        <f t="shared" si="3"/>
        <v>42.709909680296924</v>
      </c>
    </row>
    <row r="44" spans="1:10" ht="15.75" customHeight="1" x14ac:dyDescent="0.25">
      <c r="A44" s="6" t="s">
        <v>55</v>
      </c>
      <c r="B44" s="10">
        <v>2027</v>
      </c>
      <c r="C44" s="12">
        <v>642125</v>
      </c>
      <c r="D44" s="12">
        <v>432509</v>
      </c>
      <c r="E44" s="11">
        <f>Tasas_Informalidad_Proy!$C$22</f>
        <v>66.2928</v>
      </c>
      <c r="F44" s="12">
        <f t="shared" si="0"/>
        <v>286722.326352</v>
      </c>
      <c r="G44" s="12">
        <f t="shared" si="1"/>
        <v>145786.67364800003</v>
      </c>
      <c r="H44" s="16">
        <f>E44-'Historico_GEIH_2007-2026'!$M$22</f>
        <v>-1.3071999999999946</v>
      </c>
      <c r="I44" s="17">
        <f t="shared" si="2"/>
        <v>67.355888650963607</v>
      </c>
      <c r="J44" s="17">
        <f t="shared" si="3"/>
        <v>48.46511864492993</v>
      </c>
    </row>
    <row r="45" spans="1:10" ht="15.75" customHeight="1" x14ac:dyDescent="0.25">
      <c r="A45" s="8" t="s">
        <v>56</v>
      </c>
      <c r="B45" s="13">
        <v>2027</v>
      </c>
      <c r="C45" s="15">
        <v>144859</v>
      </c>
      <c r="D45" s="15">
        <v>97027</v>
      </c>
      <c r="E45" s="14">
        <f>Tasas_Informalidad_Proy!$C$23</f>
        <v>77.239999999999995</v>
      </c>
      <c r="F45" s="15">
        <f t="shared" si="0"/>
        <v>74943.654799999989</v>
      </c>
      <c r="G45" s="15">
        <f t="shared" si="1"/>
        <v>22083.345200000003</v>
      </c>
      <c r="H45" s="18">
        <f>E45-'Historico_GEIH_2007-2026'!$M$23</f>
        <v>-1.2600000000000051</v>
      </c>
      <c r="I45" s="19">
        <f t="shared" si="2"/>
        <v>66.980304986227992</v>
      </c>
      <c r="J45" s="19">
        <f t="shared" si="3"/>
        <v>49.297618188751585</v>
      </c>
    </row>
    <row r="46" spans="1:10" ht="15.75" customHeight="1" x14ac:dyDescent="0.25">
      <c r="A46" s="6" t="s">
        <v>57</v>
      </c>
      <c r="B46" s="10">
        <v>2027</v>
      </c>
      <c r="C46" s="12">
        <v>413804</v>
      </c>
      <c r="D46" s="12">
        <v>280626</v>
      </c>
      <c r="E46" s="11">
        <f>Tasas_Informalidad_Proy!$C$24</f>
        <v>63.695399999999999</v>
      </c>
      <c r="F46" s="12">
        <f t="shared" si="0"/>
        <v>178745.85320399998</v>
      </c>
      <c r="G46" s="12">
        <f t="shared" si="1"/>
        <v>101880.146796</v>
      </c>
      <c r="H46" s="16">
        <f>E46-'Historico_GEIH_2007-2026'!$M$24</f>
        <v>-1.3046000000000006</v>
      </c>
      <c r="I46" s="17">
        <f t="shared" si="2"/>
        <v>67.816164174343413</v>
      </c>
      <c r="J46" s="17">
        <f t="shared" si="3"/>
        <v>47.457470084739114</v>
      </c>
    </row>
    <row r="47" spans="1:10" ht="15.75" customHeight="1" x14ac:dyDescent="0.25">
      <c r="A47" s="8" t="s">
        <v>58</v>
      </c>
      <c r="B47" s="13">
        <v>2027</v>
      </c>
      <c r="C47" s="15">
        <v>212589</v>
      </c>
      <c r="D47" s="15">
        <v>139379</v>
      </c>
      <c r="E47" s="14">
        <f>Tasas_Informalidad_Proy!$C$25</f>
        <v>71.987200000000001</v>
      </c>
      <c r="F47" s="15">
        <f t="shared" si="0"/>
        <v>100335.03948799999</v>
      </c>
      <c r="G47" s="15">
        <f t="shared" si="1"/>
        <v>39043.960511999991</v>
      </c>
      <c r="H47" s="18">
        <f>E47-'Historico_GEIH_2007-2026'!$M$25</f>
        <v>-1.3127999999999957</v>
      </c>
      <c r="I47" s="19">
        <f t="shared" si="2"/>
        <v>65.562658463043704</v>
      </c>
      <c r="J47" s="19">
        <f t="shared" si="3"/>
        <v>52.525846791840948</v>
      </c>
    </row>
    <row r="48" spans="1:10" ht="15.75" customHeight="1" x14ac:dyDescent="0.25">
      <c r="A48" s="6" t="s">
        <v>59</v>
      </c>
      <c r="B48" s="10">
        <v>2027</v>
      </c>
      <c r="C48" s="12">
        <v>594421</v>
      </c>
      <c r="D48" s="12">
        <v>408200</v>
      </c>
      <c r="E48" s="11">
        <f>Tasas_Informalidad_Proy!$C$26</f>
        <v>57.382399999999997</v>
      </c>
      <c r="F48" s="12">
        <f t="shared" si="0"/>
        <v>234234.95679999999</v>
      </c>
      <c r="G48" s="12">
        <f t="shared" si="1"/>
        <v>173965.04319999999</v>
      </c>
      <c r="H48" s="16">
        <f>E48-'Historico_GEIH_2007-2026'!$M$26</f>
        <v>-1.3176000000000059</v>
      </c>
      <c r="I48" s="17">
        <f t="shared" si="2"/>
        <v>68.671867245605384</v>
      </c>
      <c r="J48" s="17">
        <f t="shared" si="3"/>
        <v>45.62003919647232</v>
      </c>
    </row>
    <row r="49" spans="1:10" ht="15.75" customHeight="1" x14ac:dyDescent="0.25">
      <c r="A49" s="8" t="s">
        <v>60</v>
      </c>
      <c r="B49" s="13">
        <v>2027</v>
      </c>
      <c r="C49" s="15">
        <v>307420</v>
      </c>
      <c r="D49" s="15">
        <v>208115</v>
      </c>
      <c r="E49" s="14">
        <f>Tasas_Informalidad_Proy!$C$27</f>
        <v>53.585000000000001</v>
      </c>
      <c r="F49" s="15">
        <f t="shared" si="0"/>
        <v>111518.42275</v>
      </c>
      <c r="G49" s="15">
        <f t="shared" si="1"/>
        <v>96596.577249999988</v>
      </c>
      <c r="H49" s="18">
        <f>E49-'Historico_GEIH_2007-2026'!$M$27</f>
        <v>-1.4149999999999991</v>
      </c>
      <c r="I49" s="19">
        <f t="shared" si="2"/>
        <v>67.697287099082686</v>
      </c>
      <c r="J49" s="19">
        <f t="shared" si="3"/>
        <v>47.716406794320449</v>
      </c>
    </row>
    <row r="50" spans="1:10" ht="15.75" customHeight="1" x14ac:dyDescent="0.25">
      <c r="A50" s="6" t="s">
        <v>61</v>
      </c>
      <c r="B50" s="10">
        <v>2027</v>
      </c>
      <c r="C50" s="12">
        <v>336231</v>
      </c>
      <c r="D50" s="12">
        <v>226118</v>
      </c>
      <c r="E50" s="11">
        <f>Tasas_Informalidad_Proy!$C$28</f>
        <v>66.963700000000003</v>
      </c>
      <c r="F50" s="12">
        <f t="shared" si="0"/>
        <v>151416.979166</v>
      </c>
      <c r="G50" s="12">
        <f t="shared" si="1"/>
        <v>74701.020833999995</v>
      </c>
      <c r="H50" s="16">
        <f>E50-'Historico_GEIH_2007-2026'!$M$28</f>
        <v>-1.3362999999999943</v>
      </c>
      <c r="I50" s="17">
        <f t="shared" si="2"/>
        <v>67.250788892160458</v>
      </c>
      <c r="J50" s="17">
        <f t="shared" si="3"/>
        <v>48.697140431102341</v>
      </c>
    </row>
    <row r="51" spans="1:10" ht="15.75" customHeight="1" x14ac:dyDescent="0.25">
      <c r="A51" s="6" t="s">
        <v>39</v>
      </c>
      <c r="B51" s="10">
        <v>2028</v>
      </c>
      <c r="C51" s="12">
        <v>7937939</v>
      </c>
      <c r="D51" s="12">
        <v>5682243</v>
      </c>
      <c r="E51" s="11">
        <f>Tasas_Informalidad_Proy!$D$6</f>
        <v>40.752299999999998</v>
      </c>
      <c r="F51" s="12">
        <f t="shared" si="0"/>
        <v>2315644.7140890001</v>
      </c>
      <c r="G51" s="12">
        <f t="shared" si="1"/>
        <v>3366598.2859110003</v>
      </c>
      <c r="H51" s="16">
        <f>E51-'Historico_GEIH_2007-2026'!$M$6</f>
        <v>-1.8477000000000032</v>
      </c>
      <c r="I51" s="17">
        <f t="shared" si="2"/>
        <v>71.58335431904932</v>
      </c>
      <c r="J51" s="17">
        <f t="shared" si="3"/>
        <v>39.697281513655788</v>
      </c>
    </row>
    <row r="52" spans="1:10" ht="15.75" customHeight="1" x14ac:dyDescent="0.25">
      <c r="A52" s="8" t="s">
        <v>40</v>
      </c>
      <c r="B52" s="13">
        <v>2028</v>
      </c>
      <c r="C52" s="15">
        <v>2520340</v>
      </c>
      <c r="D52" s="15">
        <v>1760328</v>
      </c>
      <c r="E52" s="14">
        <f>Tasas_Informalidad_Proy!$D$7</f>
        <v>40.856099999999998</v>
      </c>
      <c r="F52" s="15">
        <f t="shared" si="0"/>
        <v>719201.36800799996</v>
      </c>
      <c r="G52" s="15">
        <f t="shared" si="1"/>
        <v>1041126.631992</v>
      </c>
      <c r="H52" s="18">
        <f>E52-'Historico_GEIH_2007-2026'!$M$7</f>
        <v>-2.343900000000005</v>
      </c>
      <c r="I52" s="19">
        <f t="shared" si="2"/>
        <v>69.84486220113159</v>
      </c>
      <c r="J52" s="19">
        <f t="shared" si="3"/>
        <v>43.174453851782168</v>
      </c>
    </row>
    <row r="53" spans="1:10" ht="15.75" customHeight="1" x14ac:dyDescent="0.25">
      <c r="A53" s="6" t="s">
        <v>41</v>
      </c>
      <c r="B53" s="10">
        <v>2028</v>
      </c>
      <c r="C53" s="12">
        <v>2252899</v>
      </c>
      <c r="D53" s="12">
        <v>1559635</v>
      </c>
      <c r="E53" s="11">
        <f>Tasas_Informalidad_Proy!$D$8</f>
        <v>48.0548</v>
      </c>
      <c r="F53" s="12">
        <f t="shared" si="0"/>
        <v>749479.47997999995</v>
      </c>
      <c r="G53" s="12">
        <f t="shared" si="1"/>
        <v>810155.52002000005</v>
      </c>
      <c r="H53" s="16">
        <f>E53-'Historico_GEIH_2007-2026'!$M$8</f>
        <v>-2.245199999999997</v>
      </c>
      <c r="I53" s="17">
        <f t="shared" si="2"/>
        <v>69.227914788900875</v>
      </c>
      <c r="J53" s="17">
        <f t="shared" si="3"/>
        <v>44.450400253905556</v>
      </c>
    </row>
    <row r="54" spans="1:10" ht="15.75" customHeight="1" x14ac:dyDescent="0.25">
      <c r="A54" s="8" t="s">
        <v>42</v>
      </c>
      <c r="B54" s="13">
        <v>2028</v>
      </c>
      <c r="C54" s="15">
        <v>1266293</v>
      </c>
      <c r="D54" s="15">
        <v>858740</v>
      </c>
      <c r="E54" s="14">
        <f>Tasas_Informalidad_Proy!$D$9</f>
        <v>54.524799999999999</v>
      </c>
      <c r="F54" s="15">
        <f t="shared" si="0"/>
        <v>468226.26751999999</v>
      </c>
      <c r="G54" s="15">
        <f t="shared" si="1"/>
        <v>390513.73248000006</v>
      </c>
      <c r="H54" s="18">
        <f>E54-'Historico_GEIH_2007-2026'!$M$9</f>
        <v>-1.6752000000000038</v>
      </c>
      <c r="I54" s="19">
        <f t="shared" si="2"/>
        <v>67.815268662150075</v>
      </c>
      <c r="J54" s="19">
        <f t="shared" si="3"/>
        <v>47.459417285790813</v>
      </c>
    </row>
    <row r="55" spans="1:10" ht="15.75" customHeight="1" x14ac:dyDescent="0.25">
      <c r="A55" s="6" t="s">
        <v>43</v>
      </c>
      <c r="B55" s="10">
        <v>2028</v>
      </c>
      <c r="C55" s="12">
        <v>619549</v>
      </c>
      <c r="D55" s="12">
        <v>424246</v>
      </c>
      <c r="E55" s="11">
        <f>Tasas_Informalidad_Proy!$D$10</f>
        <v>60.221800000000002</v>
      </c>
      <c r="F55" s="12">
        <f t="shared" si="0"/>
        <v>255488.577628</v>
      </c>
      <c r="G55" s="12">
        <f t="shared" si="1"/>
        <v>168757.422372</v>
      </c>
      <c r="H55" s="16">
        <f>E55-'Historico_GEIH_2007-2026'!$M$10</f>
        <v>-2.1781999999999968</v>
      </c>
      <c r="I55" s="17">
        <f t="shared" si="2"/>
        <v>68.476585387112237</v>
      </c>
      <c r="J55" s="17">
        <f t="shared" si="3"/>
        <v>46.035319130881611</v>
      </c>
    </row>
    <row r="56" spans="1:10" ht="15.75" customHeight="1" x14ac:dyDescent="0.25">
      <c r="A56" s="8" t="s">
        <v>44</v>
      </c>
      <c r="B56" s="13">
        <v>2028</v>
      </c>
      <c r="C56" s="15">
        <v>482350</v>
      </c>
      <c r="D56" s="15">
        <v>331852</v>
      </c>
      <c r="E56" s="14">
        <f>Tasas_Informalidad_Proy!$D$11</f>
        <v>47.861400000000003</v>
      </c>
      <c r="F56" s="15">
        <f t="shared" si="0"/>
        <v>158829.01312800002</v>
      </c>
      <c r="G56" s="15">
        <f t="shared" si="1"/>
        <v>173022.98687199998</v>
      </c>
      <c r="H56" s="18">
        <f>E56-'Historico_GEIH_2007-2026'!$M$11</f>
        <v>-2.0385999999999953</v>
      </c>
      <c r="I56" s="19">
        <f t="shared" si="2"/>
        <v>68.799004871980927</v>
      </c>
      <c r="J56" s="19">
        <f t="shared" si="3"/>
        <v>45.350939575473404</v>
      </c>
    </row>
    <row r="57" spans="1:10" ht="15.75" customHeight="1" x14ac:dyDescent="0.25">
      <c r="A57" s="6" t="s">
        <v>45</v>
      </c>
      <c r="B57" s="10">
        <v>2028</v>
      </c>
      <c r="C57" s="12">
        <v>405682</v>
      </c>
      <c r="D57" s="12">
        <v>290134</v>
      </c>
      <c r="E57" s="11">
        <f>Tasas_Informalidad_Proy!$D$12</f>
        <v>67.2911</v>
      </c>
      <c r="F57" s="12">
        <f t="shared" si="0"/>
        <v>195234.360074</v>
      </c>
      <c r="G57" s="12">
        <f t="shared" si="1"/>
        <v>94899.639925999989</v>
      </c>
      <c r="H57" s="16">
        <f>E57-'Historico_GEIH_2007-2026'!$M$12</f>
        <v>-1.6089000000000055</v>
      </c>
      <c r="I57" s="17">
        <f t="shared" si="2"/>
        <v>71.517592597157375</v>
      </c>
      <c r="J57" s="17">
        <f t="shared" si="3"/>
        <v>39.825735694541144</v>
      </c>
    </row>
    <row r="58" spans="1:10" ht="15.75" customHeight="1" x14ac:dyDescent="0.25">
      <c r="A58" s="8" t="s">
        <v>46</v>
      </c>
      <c r="B58" s="13">
        <v>2028</v>
      </c>
      <c r="C58" s="15">
        <v>488044</v>
      </c>
      <c r="D58" s="15">
        <v>330958</v>
      </c>
      <c r="E58" s="14">
        <f>Tasas_Informalidad_Proy!$D$13</f>
        <v>55.813800000000001</v>
      </c>
      <c r="F58" s="15">
        <f t="shared" si="0"/>
        <v>184720.23620400002</v>
      </c>
      <c r="G58" s="15">
        <f t="shared" si="1"/>
        <v>146237.76379599998</v>
      </c>
      <c r="H58" s="18">
        <f>E58-'Historico_GEIH_2007-2026'!$M$13</f>
        <v>-1.6861999999999995</v>
      </c>
      <c r="I58" s="19">
        <f t="shared" si="2"/>
        <v>67.813147994852912</v>
      </c>
      <c r="J58" s="19">
        <f t="shared" si="3"/>
        <v>47.46402866829024</v>
      </c>
    </row>
    <row r="59" spans="1:10" ht="15.75" customHeight="1" x14ac:dyDescent="0.25">
      <c r="A59" s="6" t="s">
        <v>47</v>
      </c>
      <c r="B59" s="10">
        <v>2028</v>
      </c>
      <c r="C59" s="12">
        <v>788565</v>
      </c>
      <c r="D59" s="12">
        <v>548572</v>
      </c>
      <c r="E59" s="11">
        <f>Tasas_Informalidad_Proy!$D$14</f>
        <v>68.256</v>
      </c>
      <c r="F59" s="12">
        <f t="shared" si="0"/>
        <v>374433.30432000005</v>
      </c>
      <c r="G59" s="12">
        <f t="shared" si="1"/>
        <v>174138.69567999998</v>
      </c>
      <c r="H59" s="16">
        <f>E59-'Historico_GEIH_2007-2026'!$M$14</f>
        <v>-2.0439999999999969</v>
      </c>
      <c r="I59" s="17">
        <f t="shared" si="2"/>
        <v>69.565856968036883</v>
      </c>
      <c r="J59" s="17">
        <f t="shared" si="3"/>
        <v>43.748678386793351</v>
      </c>
    </row>
    <row r="60" spans="1:10" ht="15.75" customHeight="1" x14ac:dyDescent="0.25">
      <c r="A60" s="8" t="s">
        <v>48</v>
      </c>
      <c r="B60" s="13">
        <v>2028</v>
      </c>
      <c r="C60" s="15">
        <v>561557</v>
      </c>
      <c r="D60" s="15">
        <v>381050</v>
      </c>
      <c r="E60" s="14">
        <f>Tasas_Informalidad_Proy!$D$15</f>
        <v>59.124600000000001</v>
      </c>
      <c r="F60" s="15">
        <f t="shared" si="0"/>
        <v>225294.28830000001</v>
      </c>
      <c r="G60" s="15">
        <f t="shared" si="1"/>
        <v>155755.71169999999</v>
      </c>
      <c r="H60" s="18">
        <f>E60-'Historico_GEIH_2007-2026'!$M$15</f>
        <v>-1.3753999999999991</v>
      </c>
      <c r="I60" s="19">
        <f t="shared" si="2"/>
        <v>67.855979001241195</v>
      </c>
      <c r="J60" s="19">
        <f t="shared" si="3"/>
        <v>47.370948694397057</v>
      </c>
    </row>
    <row r="61" spans="1:10" ht="15.75" customHeight="1" x14ac:dyDescent="0.25">
      <c r="A61" s="6" t="s">
        <v>49</v>
      </c>
      <c r="B61" s="10">
        <v>2028</v>
      </c>
      <c r="C61" s="12">
        <v>605383</v>
      </c>
      <c r="D61" s="12">
        <v>406640</v>
      </c>
      <c r="E61" s="11">
        <f>Tasas_Informalidad_Proy!$D$16</f>
        <v>72.642600000000002</v>
      </c>
      <c r="F61" s="12">
        <f t="shared" si="0"/>
        <v>295393.86864</v>
      </c>
      <c r="G61" s="12">
        <f t="shared" si="1"/>
        <v>111246.13136</v>
      </c>
      <c r="H61" s="16">
        <f>E61-'Historico_GEIH_2007-2026'!$M$16</f>
        <v>-1.7574000000000041</v>
      </c>
      <c r="I61" s="17">
        <f t="shared" si="2"/>
        <v>67.170700201360134</v>
      </c>
      <c r="J61" s="17">
        <f t="shared" si="3"/>
        <v>48.874434389140269</v>
      </c>
    </row>
    <row r="62" spans="1:10" ht="15.75" customHeight="1" x14ac:dyDescent="0.25">
      <c r="A62" s="8" t="s">
        <v>50</v>
      </c>
      <c r="B62" s="13">
        <v>2028</v>
      </c>
      <c r="C62" s="15">
        <v>1008674</v>
      </c>
      <c r="D62" s="15">
        <v>672646</v>
      </c>
      <c r="E62" s="14">
        <f>Tasas_Informalidad_Proy!$D$17</f>
        <v>54.470700000000001</v>
      </c>
      <c r="F62" s="15">
        <f t="shared" si="0"/>
        <v>366394.98472199996</v>
      </c>
      <c r="G62" s="15">
        <f t="shared" si="1"/>
        <v>306251.01527799998</v>
      </c>
      <c r="H62" s="18">
        <f>E62-'Historico_GEIH_2007-2026'!$M$17</f>
        <v>-1.6293000000000006</v>
      </c>
      <c r="I62" s="19">
        <f t="shared" si="2"/>
        <v>66.686164211628338</v>
      </c>
      <c r="J62" s="19">
        <f t="shared" si="3"/>
        <v>49.956143350291235</v>
      </c>
    </row>
    <row r="63" spans="1:10" ht="15.75" customHeight="1" x14ac:dyDescent="0.25">
      <c r="A63" s="6" t="s">
        <v>51</v>
      </c>
      <c r="B63" s="10">
        <v>2028</v>
      </c>
      <c r="C63" s="12">
        <v>596468</v>
      </c>
      <c r="D63" s="12">
        <v>416498</v>
      </c>
      <c r="E63" s="11">
        <f>Tasas_Informalidad_Proy!$D$18</f>
        <v>59.666200000000003</v>
      </c>
      <c r="F63" s="12">
        <f t="shared" si="0"/>
        <v>248508.52967600003</v>
      </c>
      <c r="G63" s="12">
        <f t="shared" si="1"/>
        <v>167989.47032399999</v>
      </c>
      <c r="H63" s="16">
        <f>E63-'Historico_GEIH_2007-2026'!$M$18</f>
        <v>-1.6337999999999937</v>
      </c>
      <c r="I63" s="17">
        <f t="shared" si="2"/>
        <v>69.827383866359966</v>
      </c>
      <c r="J63" s="17">
        <f t="shared" si="3"/>
        <v>43.210291526009733</v>
      </c>
    </row>
    <row r="64" spans="1:10" ht="15.75" customHeight="1" x14ac:dyDescent="0.25">
      <c r="A64" s="8" t="s">
        <v>52</v>
      </c>
      <c r="B64" s="13">
        <v>2028</v>
      </c>
      <c r="C64" s="15">
        <v>194852</v>
      </c>
      <c r="D64" s="15">
        <v>139146</v>
      </c>
      <c r="E64" s="14">
        <f>Tasas_Informalidad_Proy!$D$19</f>
        <v>59.5595</v>
      </c>
      <c r="F64" s="15">
        <f t="shared" si="0"/>
        <v>82874.661869999996</v>
      </c>
      <c r="G64" s="15">
        <f t="shared" si="1"/>
        <v>56271.338130000004</v>
      </c>
      <c r="H64" s="18">
        <f>E64-'Historico_GEIH_2007-2026'!$M$19</f>
        <v>-1.640500000000003</v>
      </c>
      <c r="I64" s="19">
        <f t="shared" si="2"/>
        <v>71.411122287685018</v>
      </c>
      <c r="J64" s="19">
        <f t="shared" si="3"/>
        <v>40.034208672904718</v>
      </c>
    </row>
    <row r="65" spans="1:10" ht="15.75" customHeight="1" x14ac:dyDescent="0.25">
      <c r="A65" s="6" t="s">
        <v>53</v>
      </c>
      <c r="B65" s="10">
        <v>2028</v>
      </c>
      <c r="C65" s="12">
        <v>192505</v>
      </c>
      <c r="D65" s="12">
        <v>133191</v>
      </c>
      <c r="E65" s="11">
        <f>Tasas_Informalidad_Proy!$D$20</f>
        <v>73.897000000000006</v>
      </c>
      <c r="F65" s="12">
        <f t="shared" si="0"/>
        <v>98424.15327000001</v>
      </c>
      <c r="G65" s="12">
        <f t="shared" si="1"/>
        <v>34766.846729999997</v>
      </c>
      <c r="H65" s="16">
        <f>E65-'Historico_GEIH_2007-2026'!$M$20</f>
        <v>-1.6029999999999944</v>
      </c>
      <c r="I65" s="17">
        <f t="shared" si="2"/>
        <v>69.188332770577389</v>
      </c>
      <c r="J65" s="17">
        <f t="shared" si="3"/>
        <v>44.533039019152945</v>
      </c>
    </row>
    <row r="66" spans="1:10" ht="15.75" customHeight="1" x14ac:dyDescent="0.25">
      <c r="A66" s="8" t="s">
        <v>54</v>
      </c>
      <c r="B66" s="13">
        <v>2028</v>
      </c>
      <c r="C66" s="15">
        <v>361197</v>
      </c>
      <c r="D66" s="15">
        <v>253200</v>
      </c>
      <c r="E66" s="14">
        <f>Tasas_Informalidad_Proy!$D$21</f>
        <v>67.4465</v>
      </c>
      <c r="F66" s="15">
        <f t="shared" si="0"/>
        <v>170774.538</v>
      </c>
      <c r="G66" s="15">
        <f t="shared" si="1"/>
        <v>82425.462</v>
      </c>
      <c r="H66" s="18">
        <f>E66-'Historico_GEIH_2007-2026'!$M$21</f>
        <v>-1.5534999999999997</v>
      </c>
      <c r="I66" s="19">
        <f t="shared" si="2"/>
        <v>70.100250002076422</v>
      </c>
      <c r="J66" s="19">
        <f t="shared" si="3"/>
        <v>42.652843601895732</v>
      </c>
    </row>
    <row r="67" spans="1:10" ht="15.75" customHeight="1" x14ac:dyDescent="0.25">
      <c r="A67" s="6" t="s">
        <v>55</v>
      </c>
      <c r="B67" s="10">
        <v>2028</v>
      </c>
      <c r="C67" s="12">
        <v>654794</v>
      </c>
      <c r="D67" s="12">
        <v>443371</v>
      </c>
      <c r="E67" s="11">
        <f>Tasas_Informalidad_Proy!$D$22</f>
        <v>65.969300000000004</v>
      </c>
      <c r="F67" s="12">
        <f t="shared" si="0"/>
        <v>292488.74510300002</v>
      </c>
      <c r="G67" s="12">
        <f t="shared" si="1"/>
        <v>150882.25489699995</v>
      </c>
      <c r="H67" s="16">
        <f>E67-'Historico_GEIH_2007-2026'!$M$22</f>
        <v>-1.6306999999999903</v>
      </c>
      <c r="I67" s="17">
        <f t="shared" si="2"/>
        <v>67.711524540542527</v>
      </c>
      <c r="J67" s="17">
        <f t="shared" si="3"/>
        <v>47.685347034424893</v>
      </c>
    </row>
    <row r="68" spans="1:10" ht="15.75" customHeight="1" x14ac:dyDescent="0.25">
      <c r="A68" s="8" t="s">
        <v>56</v>
      </c>
      <c r="B68" s="13">
        <v>2028</v>
      </c>
      <c r="C68" s="15">
        <v>146289</v>
      </c>
      <c r="D68" s="15">
        <v>98499</v>
      </c>
      <c r="E68" s="14">
        <f>Tasas_Informalidad_Proy!$D$23</f>
        <v>76.9114</v>
      </c>
      <c r="F68" s="15">
        <f t="shared" si="0"/>
        <v>75756.959885999997</v>
      </c>
      <c r="G68" s="15">
        <f t="shared" si="1"/>
        <v>22742.040114000003</v>
      </c>
      <c r="H68" s="18">
        <f>E68-'Historico_GEIH_2007-2026'!$M$23</f>
        <v>-1.5885999999999996</v>
      </c>
      <c r="I68" s="19">
        <f t="shared" si="2"/>
        <v>67.331788446157944</v>
      </c>
      <c r="J68" s="19">
        <f t="shared" si="3"/>
        <v>48.518259068619983</v>
      </c>
    </row>
    <row r="69" spans="1:10" ht="15.75" customHeight="1" x14ac:dyDescent="0.25">
      <c r="A69" s="6" t="s">
        <v>57</v>
      </c>
      <c r="B69" s="10">
        <v>2028</v>
      </c>
      <c r="C69" s="12">
        <v>419210</v>
      </c>
      <c r="D69" s="12">
        <v>284876</v>
      </c>
      <c r="E69" s="11">
        <f>Tasas_Informalidad_Proy!$D$24</f>
        <v>63.377299999999998</v>
      </c>
      <c r="F69" s="12">
        <f t="shared" ref="F69:F132" si="4">D69*E69/100</f>
        <v>180546.717148</v>
      </c>
      <c r="G69" s="12">
        <f t="shared" ref="G69:G132" si="5">D69*(1-E69/100)</f>
        <v>104329.28285199999</v>
      </c>
      <c r="H69" s="16">
        <f>E69-'Historico_GEIH_2007-2026'!$M$24</f>
        <v>-1.6227000000000018</v>
      </c>
      <c r="I69" s="17">
        <f t="shared" ref="I69:I132" si="6">IF(C69&gt;0,D69/C69*100,"")</f>
        <v>67.95543999427494</v>
      </c>
      <c r="J69" s="17">
        <f t="shared" ref="J69:J132" si="7">IF(D69&gt;0,(C69-D69)/D69*100,"")</f>
        <v>47.155253513809519</v>
      </c>
    </row>
    <row r="70" spans="1:10" ht="15.75" customHeight="1" x14ac:dyDescent="0.25">
      <c r="A70" s="8" t="s">
        <v>58</v>
      </c>
      <c r="B70" s="13">
        <v>2028</v>
      </c>
      <c r="C70" s="15">
        <v>213219</v>
      </c>
      <c r="D70" s="15">
        <v>140716</v>
      </c>
      <c r="E70" s="14">
        <f>Tasas_Informalidad_Proy!$D$25</f>
        <v>71.662199999999999</v>
      </c>
      <c r="F70" s="15">
        <f t="shared" si="4"/>
        <v>100840.181352</v>
      </c>
      <c r="G70" s="15">
        <f t="shared" si="5"/>
        <v>39875.818648</v>
      </c>
      <c r="H70" s="18">
        <f>E70-'Historico_GEIH_2007-2026'!$M$25</f>
        <v>-1.6377999999999986</v>
      </c>
      <c r="I70" s="19">
        <f t="shared" si="6"/>
        <v>65.995994728424762</v>
      </c>
      <c r="J70" s="19">
        <f t="shared" si="7"/>
        <v>51.52434691150971</v>
      </c>
    </row>
    <row r="71" spans="1:10" ht="15.75" customHeight="1" x14ac:dyDescent="0.25">
      <c r="A71" s="6" t="s">
        <v>59</v>
      </c>
      <c r="B71" s="10">
        <v>2028</v>
      </c>
      <c r="C71" s="12">
        <v>599778</v>
      </c>
      <c r="D71" s="12">
        <v>413710</v>
      </c>
      <c r="E71" s="11">
        <f>Tasas_Informalidad_Proy!$D$26</f>
        <v>57.0642</v>
      </c>
      <c r="F71" s="12">
        <f t="shared" si="4"/>
        <v>236080.30181999999</v>
      </c>
      <c r="G71" s="12">
        <f t="shared" si="5"/>
        <v>177629.69818000001</v>
      </c>
      <c r="H71" s="16">
        <f>E71-'Historico_GEIH_2007-2026'!$M$26</f>
        <v>-1.6358000000000033</v>
      </c>
      <c r="I71" s="17">
        <f t="shared" si="6"/>
        <v>68.977188226310403</v>
      </c>
      <c r="J71" s="17">
        <f t="shared" si="7"/>
        <v>44.975465906069466</v>
      </c>
    </row>
    <row r="72" spans="1:10" ht="15.75" customHeight="1" x14ac:dyDescent="0.25">
      <c r="A72" s="8" t="s">
        <v>60</v>
      </c>
      <c r="B72" s="13">
        <v>2028</v>
      </c>
      <c r="C72" s="15">
        <v>307599</v>
      </c>
      <c r="D72" s="15">
        <v>207858</v>
      </c>
      <c r="E72" s="14">
        <f>Tasas_Informalidad_Proy!$D$27</f>
        <v>53.2637</v>
      </c>
      <c r="F72" s="15">
        <f t="shared" si="4"/>
        <v>110712.861546</v>
      </c>
      <c r="G72" s="15">
        <f t="shared" si="5"/>
        <v>97145.138454</v>
      </c>
      <c r="H72" s="18">
        <f>E72-'Historico_GEIH_2007-2026'!$M$27</f>
        <v>-1.7363</v>
      </c>
      <c r="I72" s="19">
        <f t="shared" si="6"/>
        <v>67.574341919186992</v>
      </c>
      <c r="J72" s="19">
        <f t="shared" si="7"/>
        <v>47.98516294778166</v>
      </c>
    </row>
    <row r="73" spans="1:10" ht="15.75" customHeight="1" x14ac:dyDescent="0.25">
      <c r="A73" s="6" t="s">
        <v>61</v>
      </c>
      <c r="B73" s="10">
        <v>2028</v>
      </c>
      <c r="C73" s="12">
        <v>341271</v>
      </c>
      <c r="D73" s="12">
        <v>230252</v>
      </c>
      <c r="E73" s="11">
        <f>Tasas_Informalidad_Proy!$D$28</f>
        <v>66.638300000000001</v>
      </c>
      <c r="F73" s="12">
        <f t="shared" si="4"/>
        <v>153436.01851600001</v>
      </c>
      <c r="G73" s="12">
        <f t="shared" si="5"/>
        <v>76815.981483999989</v>
      </c>
      <c r="H73" s="16">
        <f>E73-'Historico_GEIH_2007-2026'!$M$28</f>
        <v>-1.6616999999999962</v>
      </c>
      <c r="I73" s="17">
        <f t="shared" si="6"/>
        <v>67.468961617014045</v>
      </c>
      <c r="J73" s="17">
        <f t="shared" si="7"/>
        <v>48.216302138526487</v>
      </c>
    </row>
    <row r="74" spans="1:10" ht="15.75" customHeight="1" x14ac:dyDescent="0.25">
      <c r="A74" s="6" t="s">
        <v>39</v>
      </c>
      <c r="B74" s="10">
        <v>2029</v>
      </c>
      <c r="C74" s="12">
        <v>7928632</v>
      </c>
      <c r="D74" s="12">
        <v>5669847</v>
      </c>
      <c r="E74" s="11">
        <f>Tasas_Informalidad_Proy!$E$6</f>
        <v>40.435099999999998</v>
      </c>
      <c r="F74" s="12">
        <f t="shared" si="4"/>
        <v>2292608.3042969997</v>
      </c>
      <c r="G74" s="12">
        <f t="shared" si="5"/>
        <v>3377238.6957030008</v>
      </c>
      <c r="H74" s="16">
        <f>E74-'Historico_GEIH_2007-2026'!$M$6</f>
        <v>-2.1649000000000029</v>
      </c>
      <c r="I74" s="17">
        <f t="shared" si="6"/>
        <v>71.51103746522729</v>
      </c>
      <c r="J74" s="17">
        <f t="shared" si="7"/>
        <v>39.838552962716626</v>
      </c>
    </row>
    <row r="75" spans="1:10" ht="15.75" customHeight="1" x14ac:dyDescent="0.25">
      <c r="A75" s="8" t="s">
        <v>40</v>
      </c>
      <c r="B75" s="13">
        <v>2029</v>
      </c>
      <c r="C75" s="15">
        <v>2515817</v>
      </c>
      <c r="D75" s="15">
        <v>1752800</v>
      </c>
      <c r="E75" s="14">
        <f>Tasas_Informalidad_Proy!$E$7</f>
        <v>40.454500000000003</v>
      </c>
      <c r="F75" s="15">
        <f t="shared" si="4"/>
        <v>709086.47600000014</v>
      </c>
      <c r="G75" s="15">
        <f t="shared" si="5"/>
        <v>1043713.524</v>
      </c>
      <c r="H75" s="18">
        <f>E75-'Historico_GEIH_2007-2026'!$M$7</f>
        <v>-2.7454999999999998</v>
      </c>
      <c r="I75" s="19">
        <f t="shared" si="6"/>
        <v>69.671204225108582</v>
      </c>
      <c r="J75" s="19">
        <f t="shared" si="7"/>
        <v>43.531321314468279</v>
      </c>
    </row>
    <row r="76" spans="1:10" ht="15.75" customHeight="1" x14ac:dyDescent="0.25">
      <c r="A76" s="6" t="s">
        <v>41</v>
      </c>
      <c r="B76" s="10">
        <v>2029</v>
      </c>
      <c r="C76" s="12">
        <v>2243456</v>
      </c>
      <c r="D76" s="12">
        <v>1550229</v>
      </c>
      <c r="E76" s="11">
        <f>Tasas_Informalidad_Proy!$E$8</f>
        <v>47.6798</v>
      </c>
      <c r="F76" s="12">
        <f t="shared" si="4"/>
        <v>739146.08674199996</v>
      </c>
      <c r="G76" s="12">
        <f t="shared" si="5"/>
        <v>811082.91325799993</v>
      </c>
      <c r="H76" s="16">
        <f>E76-'Historico_GEIH_2007-2026'!$M$8</f>
        <v>-2.620199999999997</v>
      </c>
      <c r="I76" s="17">
        <f t="shared" si="6"/>
        <v>69.100040294973468</v>
      </c>
      <c r="J76" s="17">
        <f t="shared" si="7"/>
        <v>44.717715898747862</v>
      </c>
    </row>
    <row r="77" spans="1:10" ht="15.75" customHeight="1" x14ac:dyDescent="0.25">
      <c r="A77" s="8" t="s">
        <v>42</v>
      </c>
      <c r="B77" s="13">
        <v>2029</v>
      </c>
      <c r="C77" s="15">
        <v>1260642</v>
      </c>
      <c r="D77" s="15">
        <v>855276</v>
      </c>
      <c r="E77" s="14">
        <f>Tasas_Informalidad_Proy!$E$9</f>
        <v>54.1999</v>
      </c>
      <c r="F77" s="15">
        <f t="shared" si="4"/>
        <v>463558.73672399996</v>
      </c>
      <c r="G77" s="15">
        <f t="shared" si="5"/>
        <v>391717.26327599998</v>
      </c>
      <c r="H77" s="18">
        <f>E77-'Historico_GEIH_2007-2026'!$M$9</f>
        <v>-2.0001000000000033</v>
      </c>
      <c r="I77" s="19">
        <f t="shared" si="6"/>
        <v>67.844479241529314</v>
      </c>
      <c r="J77" s="19">
        <f t="shared" si="7"/>
        <v>47.395928331906894</v>
      </c>
    </row>
    <row r="78" spans="1:10" ht="15.75" customHeight="1" x14ac:dyDescent="0.25">
      <c r="A78" s="6" t="s">
        <v>43</v>
      </c>
      <c r="B78" s="10">
        <v>2029</v>
      </c>
      <c r="C78" s="12">
        <v>619788</v>
      </c>
      <c r="D78" s="12">
        <v>423903</v>
      </c>
      <c r="E78" s="11">
        <f>Tasas_Informalidad_Proy!$E$10</f>
        <v>59.8215</v>
      </c>
      <c r="F78" s="12">
        <f t="shared" si="4"/>
        <v>253585.133145</v>
      </c>
      <c r="G78" s="12">
        <f t="shared" si="5"/>
        <v>170317.86685499997</v>
      </c>
      <c r="H78" s="16">
        <f>E78-'Historico_GEIH_2007-2026'!$M$10</f>
        <v>-2.5784999999999982</v>
      </c>
      <c r="I78" s="17">
        <f t="shared" si="6"/>
        <v>68.394838235009388</v>
      </c>
      <c r="J78" s="17">
        <f t="shared" si="7"/>
        <v>46.209864049086704</v>
      </c>
    </row>
    <row r="79" spans="1:10" ht="15.75" customHeight="1" x14ac:dyDescent="0.25">
      <c r="A79" s="8" t="s">
        <v>44</v>
      </c>
      <c r="B79" s="13">
        <v>2029</v>
      </c>
      <c r="C79" s="15">
        <v>485427</v>
      </c>
      <c r="D79" s="15">
        <v>333321</v>
      </c>
      <c r="E79" s="14">
        <f>Tasas_Informalidad_Proy!$E$11</f>
        <v>47.498100000000001</v>
      </c>
      <c r="F79" s="15">
        <f t="shared" si="4"/>
        <v>158321.14190100002</v>
      </c>
      <c r="G79" s="15">
        <f t="shared" si="5"/>
        <v>174999.858099</v>
      </c>
      <c r="H79" s="18">
        <f>E79-'Historico_GEIH_2007-2026'!$M$11</f>
        <v>-2.4018999999999977</v>
      </c>
      <c r="I79" s="19">
        <f t="shared" si="6"/>
        <v>68.665525403407727</v>
      </c>
      <c r="J79" s="19">
        <f t="shared" si="7"/>
        <v>45.633488439072245</v>
      </c>
    </row>
    <row r="80" spans="1:10" ht="15.75" customHeight="1" x14ac:dyDescent="0.25">
      <c r="A80" s="6" t="s">
        <v>45</v>
      </c>
      <c r="B80" s="10">
        <v>2029</v>
      </c>
      <c r="C80" s="12">
        <v>405938</v>
      </c>
      <c r="D80" s="12">
        <v>290716</v>
      </c>
      <c r="E80" s="11">
        <f>Tasas_Informalidad_Proy!$E$12</f>
        <v>67.000799999999998</v>
      </c>
      <c r="F80" s="12">
        <f t="shared" si="4"/>
        <v>194782.045728</v>
      </c>
      <c r="G80" s="12">
        <f t="shared" si="5"/>
        <v>95933.954272000017</v>
      </c>
      <c r="H80" s="16">
        <f>E80-'Historico_GEIH_2007-2026'!$M$12</f>
        <v>-1.8992000000000075</v>
      </c>
      <c r="I80" s="17">
        <f t="shared" si="6"/>
        <v>71.61586252087757</v>
      </c>
      <c r="J80" s="17">
        <f t="shared" si="7"/>
        <v>39.633869480867929</v>
      </c>
    </row>
    <row r="81" spans="1:10" ht="15.75" customHeight="1" x14ac:dyDescent="0.25">
      <c r="A81" s="8" t="s">
        <v>46</v>
      </c>
      <c r="B81" s="13">
        <v>2029</v>
      </c>
      <c r="C81" s="15">
        <v>487840</v>
      </c>
      <c r="D81" s="15">
        <v>330336</v>
      </c>
      <c r="E81" s="14">
        <f>Tasas_Informalidad_Proy!$E$13</f>
        <v>55.470999999999997</v>
      </c>
      <c r="F81" s="15">
        <f t="shared" si="4"/>
        <v>183240.68255999999</v>
      </c>
      <c r="G81" s="15">
        <f t="shared" si="5"/>
        <v>147095.31744000001</v>
      </c>
      <c r="H81" s="18">
        <f>E81-'Historico_GEIH_2007-2026'!$M$13</f>
        <v>-2.0290000000000035</v>
      </c>
      <c r="I81" s="19">
        <f t="shared" si="6"/>
        <v>67.714004591669394</v>
      </c>
      <c r="J81" s="19">
        <f t="shared" si="7"/>
        <v>47.679938002518647</v>
      </c>
    </row>
    <row r="82" spans="1:10" ht="15.75" customHeight="1" x14ac:dyDescent="0.25">
      <c r="A82" s="6" t="s">
        <v>47</v>
      </c>
      <c r="B82" s="10">
        <v>2029</v>
      </c>
      <c r="C82" s="12">
        <v>786358</v>
      </c>
      <c r="D82" s="12">
        <v>548097</v>
      </c>
      <c r="E82" s="11">
        <f>Tasas_Informalidad_Proy!$E$14</f>
        <v>67.869299999999996</v>
      </c>
      <c r="F82" s="12">
        <f t="shared" si="4"/>
        <v>371989.59722099995</v>
      </c>
      <c r="G82" s="12">
        <f t="shared" si="5"/>
        <v>176107.402779</v>
      </c>
      <c r="H82" s="16">
        <f>E82-'Historico_GEIH_2007-2026'!$M$14</f>
        <v>-2.4307000000000016</v>
      </c>
      <c r="I82" s="17">
        <f t="shared" si="6"/>
        <v>69.700696120596476</v>
      </c>
      <c r="J82" s="17">
        <f t="shared" si="7"/>
        <v>43.470590059788691</v>
      </c>
    </row>
    <row r="83" spans="1:10" ht="15.75" customHeight="1" x14ac:dyDescent="0.25">
      <c r="A83" s="8" t="s">
        <v>48</v>
      </c>
      <c r="B83" s="13">
        <v>2029</v>
      </c>
      <c r="C83" s="15">
        <v>563432</v>
      </c>
      <c r="D83" s="15">
        <v>382115</v>
      </c>
      <c r="E83" s="14">
        <f>Tasas_Informalidad_Proy!$E$15</f>
        <v>58.813400000000001</v>
      </c>
      <c r="F83" s="15">
        <f t="shared" si="4"/>
        <v>224734.82341000001</v>
      </c>
      <c r="G83" s="15">
        <f t="shared" si="5"/>
        <v>157380.17658999999</v>
      </c>
      <c r="H83" s="18">
        <f>E83-'Historico_GEIH_2007-2026'!$M$15</f>
        <v>-1.6865999999999985</v>
      </c>
      <c r="I83" s="19">
        <f t="shared" si="6"/>
        <v>67.819186698661056</v>
      </c>
      <c r="J83" s="19">
        <f t="shared" si="7"/>
        <v>47.450898289781875</v>
      </c>
    </row>
    <row r="84" spans="1:10" ht="15.75" customHeight="1" x14ac:dyDescent="0.25">
      <c r="A84" s="6" t="s">
        <v>49</v>
      </c>
      <c r="B84" s="10">
        <v>2029</v>
      </c>
      <c r="C84" s="12">
        <v>615278</v>
      </c>
      <c r="D84" s="12">
        <v>414279</v>
      </c>
      <c r="E84" s="11">
        <f>Tasas_Informalidad_Proy!$E$16</f>
        <v>72.302300000000002</v>
      </c>
      <c r="F84" s="12">
        <f t="shared" si="4"/>
        <v>299533.24541700003</v>
      </c>
      <c r="G84" s="12">
        <f t="shared" si="5"/>
        <v>114745.75458300002</v>
      </c>
      <c r="H84" s="16">
        <f>E84-'Historico_GEIH_2007-2026'!$M$16</f>
        <v>-2.0977000000000032</v>
      </c>
      <c r="I84" s="17">
        <f t="shared" si="6"/>
        <v>67.332002769479814</v>
      </c>
      <c r="J84" s="17">
        <f t="shared" si="7"/>
        <v>48.517786322743852</v>
      </c>
    </row>
    <row r="85" spans="1:10" ht="15.75" customHeight="1" x14ac:dyDescent="0.25">
      <c r="A85" s="8" t="s">
        <v>50</v>
      </c>
      <c r="B85" s="13">
        <v>2029</v>
      </c>
      <c r="C85" s="15">
        <v>1007039</v>
      </c>
      <c r="D85" s="15">
        <v>672048</v>
      </c>
      <c r="E85" s="14">
        <f>Tasas_Informalidad_Proy!$E$17</f>
        <v>54.158799999999999</v>
      </c>
      <c r="F85" s="15">
        <f t="shared" si="4"/>
        <v>363973.132224</v>
      </c>
      <c r="G85" s="15">
        <f t="shared" si="5"/>
        <v>308074.867776</v>
      </c>
      <c r="H85" s="18">
        <f>E85-'Historico_GEIH_2007-2026'!$M$17</f>
        <v>-1.941200000000002</v>
      </c>
      <c r="I85" s="19">
        <f t="shared" si="6"/>
        <v>66.735051969188873</v>
      </c>
      <c r="J85" s="19">
        <f t="shared" si="7"/>
        <v>49.846290741137537</v>
      </c>
    </row>
    <row r="86" spans="1:10" ht="15.75" customHeight="1" x14ac:dyDescent="0.25">
      <c r="A86" s="6" t="s">
        <v>51</v>
      </c>
      <c r="B86" s="10">
        <v>2029</v>
      </c>
      <c r="C86" s="12">
        <v>600093</v>
      </c>
      <c r="D86" s="12">
        <v>419474</v>
      </c>
      <c r="E86" s="11">
        <f>Tasas_Informalidad_Proy!$E$18</f>
        <v>59.345599999999997</v>
      </c>
      <c r="F86" s="12">
        <f t="shared" si="4"/>
        <v>248939.36214399998</v>
      </c>
      <c r="G86" s="12">
        <f t="shared" si="5"/>
        <v>170534.63785600002</v>
      </c>
      <c r="H86" s="16">
        <f>E86-'Historico_GEIH_2007-2026'!$M$18</f>
        <v>-1.9543999999999997</v>
      </c>
      <c r="I86" s="17">
        <f t="shared" si="6"/>
        <v>69.901498601050179</v>
      </c>
      <c r="J86" s="17">
        <f t="shared" si="7"/>
        <v>43.058449391380634</v>
      </c>
    </row>
    <row r="87" spans="1:10" ht="15.75" customHeight="1" x14ac:dyDescent="0.25">
      <c r="A87" s="8" t="s">
        <v>52</v>
      </c>
      <c r="B87" s="13">
        <v>2029</v>
      </c>
      <c r="C87" s="15">
        <v>196709</v>
      </c>
      <c r="D87" s="15">
        <v>140576</v>
      </c>
      <c r="E87" s="14">
        <f>Tasas_Informalidad_Proy!$E$19</f>
        <v>59.2517</v>
      </c>
      <c r="F87" s="15">
        <f t="shared" si="4"/>
        <v>83293.669792000001</v>
      </c>
      <c r="G87" s="15">
        <f t="shared" si="5"/>
        <v>57282.330208000007</v>
      </c>
      <c r="H87" s="18">
        <f>E87-'Historico_GEIH_2007-2026'!$M$19</f>
        <v>-1.9483000000000033</v>
      </c>
      <c r="I87" s="19">
        <f t="shared" si="6"/>
        <v>71.463939118189813</v>
      </c>
      <c r="J87" s="19">
        <f t="shared" si="7"/>
        <v>39.930713635328935</v>
      </c>
    </row>
    <row r="88" spans="1:10" ht="15.75" customHeight="1" x14ac:dyDescent="0.25">
      <c r="A88" s="6" t="s">
        <v>53</v>
      </c>
      <c r="B88" s="10">
        <v>2029</v>
      </c>
      <c r="C88" s="12">
        <v>194245</v>
      </c>
      <c r="D88" s="12">
        <v>134764</v>
      </c>
      <c r="E88" s="11">
        <f>Tasas_Informalidad_Proy!$E$20</f>
        <v>73.569500000000005</v>
      </c>
      <c r="F88" s="12">
        <f t="shared" si="4"/>
        <v>99145.200980000009</v>
      </c>
      <c r="G88" s="12">
        <f t="shared" si="5"/>
        <v>35618.799019999984</v>
      </c>
      <c r="H88" s="16">
        <f>E88-'Historico_GEIH_2007-2026'!$M$20</f>
        <v>-1.930499999999995</v>
      </c>
      <c r="I88" s="17">
        <f t="shared" si="6"/>
        <v>69.378362377409971</v>
      </c>
      <c r="J88" s="17">
        <f t="shared" si="7"/>
        <v>44.137158291531861</v>
      </c>
    </row>
    <row r="89" spans="1:10" ht="15.75" customHeight="1" x14ac:dyDescent="0.25">
      <c r="A89" s="8" t="s">
        <v>54</v>
      </c>
      <c r="B89" s="13">
        <v>2029</v>
      </c>
      <c r="C89" s="15">
        <v>363903</v>
      </c>
      <c r="D89" s="15">
        <v>255186</v>
      </c>
      <c r="E89" s="14">
        <f>Tasas_Informalidad_Proy!$E$21</f>
        <v>67.131600000000006</v>
      </c>
      <c r="F89" s="15">
        <f t="shared" si="4"/>
        <v>171310.44477600002</v>
      </c>
      <c r="G89" s="15">
        <f t="shared" si="5"/>
        <v>83875.555223999996</v>
      </c>
      <c r="H89" s="18">
        <f>E89-'Historico_GEIH_2007-2026'!$M$21</f>
        <v>-1.8683999999999941</v>
      </c>
      <c r="I89" s="19">
        <f t="shared" si="6"/>
        <v>70.124731040964221</v>
      </c>
      <c r="J89" s="19">
        <f t="shared" si="7"/>
        <v>42.60304248665679</v>
      </c>
    </row>
    <row r="90" spans="1:10" ht="15.75" customHeight="1" x14ac:dyDescent="0.25">
      <c r="A90" s="6" t="s">
        <v>55</v>
      </c>
      <c r="B90" s="10">
        <v>2029</v>
      </c>
      <c r="C90" s="12">
        <v>667252</v>
      </c>
      <c r="D90" s="12">
        <v>454137</v>
      </c>
      <c r="E90" s="11">
        <f>Tasas_Informalidad_Proy!$E$22</f>
        <v>65.647300000000001</v>
      </c>
      <c r="F90" s="12">
        <f t="shared" si="4"/>
        <v>298128.678801</v>
      </c>
      <c r="G90" s="12">
        <f t="shared" si="5"/>
        <v>156008.321199</v>
      </c>
      <c r="H90" s="16">
        <f>E90-'Historico_GEIH_2007-2026'!$M$22</f>
        <v>-1.952699999999993</v>
      </c>
      <c r="I90" s="17">
        <f t="shared" si="6"/>
        <v>68.060792624076058</v>
      </c>
      <c r="J90" s="17">
        <f t="shared" si="7"/>
        <v>46.927469023664663</v>
      </c>
    </row>
    <row r="91" spans="1:10" ht="15.75" customHeight="1" x14ac:dyDescent="0.25">
      <c r="A91" s="8" t="s">
        <v>56</v>
      </c>
      <c r="B91" s="13">
        <v>2029</v>
      </c>
      <c r="C91" s="15">
        <v>147642</v>
      </c>
      <c r="D91" s="15">
        <v>99892</v>
      </c>
      <c r="E91" s="14">
        <f>Tasas_Informalidad_Proy!$E$23</f>
        <v>76.584299999999999</v>
      </c>
      <c r="F91" s="15">
        <f t="shared" si="4"/>
        <v>76501.588955999992</v>
      </c>
      <c r="G91" s="15">
        <f t="shared" si="5"/>
        <v>23390.411044000008</v>
      </c>
      <c r="H91" s="18">
        <f>E91-'Historico_GEIH_2007-2026'!$M$23</f>
        <v>-1.9157000000000011</v>
      </c>
      <c r="I91" s="19">
        <f t="shared" si="6"/>
        <v>67.658254426247282</v>
      </c>
      <c r="J91" s="19">
        <f t="shared" si="7"/>
        <v>47.801625755816282</v>
      </c>
    </row>
    <row r="92" spans="1:10" ht="15.75" customHeight="1" x14ac:dyDescent="0.25">
      <c r="A92" s="6" t="s">
        <v>57</v>
      </c>
      <c r="B92" s="10">
        <v>2029</v>
      </c>
      <c r="C92" s="12">
        <v>424400</v>
      </c>
      <c r="D92" s="12">
        <v>289003</v>
      </c>
      <c r="E92" s="11">
        <f>Tasas_Informalidad_Proy!$E$24</f>
        <v>63.0608</v>
      </c>
      <c r="F92" s="12">
        <f t="shared" si="4"/>
        <v>182247.60382399999</v>
      </c>
      <c r="G92" s="12">
        <f t="shared" si="5"/>
        <v>106755.39617599998</v>
      </c>
      <c r="H92" s="16">
        <f>E92-'Historico_GEIH_2007-2026'!$M$24</f>
        <v>-1.9391999999999996</v>
      </c>
      <c r="I92" s="17">
        <f t="shared" si="6"/>
        <v>68.096842601319509</v>
      </c>
      <c r="J92" s="17">
        <f t="shared" si="7"/>
        <v>46.849686681453136</v>
      </c>
    </row>
    <row r="93" spans="1:10" ht="15.75" customHeight="1" x14ac:dyDescent="0.25">
      <c r="A93" s="8" t="s">
        <v>58</v>
      </c>
      <c r="B93" s="13">
        <v>2029</v>
      </c>
      <c r="C93" s="15">
        <v>213702</v>
      </c>
      <c r="D93" s="15">
        <v>141954</v>
      </c>
      <c r="E93" s="14">
        <f>Tasas_Informalidad_Proy!$E$25</f>
        <v>71.338800000000006</v>
      </c>
      <c r="F93" s="15">
        <f t="shared" si="4"/>
        <v>101268.28015200001</v>
      </c>
      <c r="G93" s="15">
        <f t="shared" si="5"/>
        <v>40685.719847999993</v>
      </c>
      <c r="H93" s="18">
        <f>E93-'Historico_GEIH_2007-2026'!$M$25</f>
        <v>-1.961199999999991</v>
      </c>
      <c r="I93" s="19">
        <f t="shared" si="6"/>
        <v>66.426144818485554</v>
      </c>
      <c r="J93" s="19">
        <f t="shared" si="7"/>
        <v>50.543133691195742</v>
      </c>
    </row>
    <row r="94" spans="1:10" ht="15.75" customHeight="1" x14ac:dyDescent="0.25">
      <c r="A94" s="6" t="s">
        <v>59</v>
      </c>
      <c r="B94" s="10">
        <v>2029</v>
      </c>
      <c r="C94" s="12">
        <v>604778</v>
      </c>
      <c r="D94" s="12">
        <v>418961</v>
      </c>
      <c r="E94" s="11">
        <f>Tasas_Informalidad_Proy!$E$26</f>
        <v>56.747799999999998</v>
      </c>
      <c r="F94" s="12">
        <f t="shared" si="4"/>
        <v>237751.15035799998</v>
      </c>
      <c r="G94" s="12">
        <f t="shared" si="5"/>
        <v>181209.84964200004</v>
      </c>
      <c r="H94" s="16">
        <f>E94-'Historico_GEIH_2007-2026'!$M$26</f>
        <v>-1.9522000000000048</v>
      </c>
      <c r="I94" s="17">
        <f t="shared" si="6"/>
        <v>69.275172046602222</v>
      </c>
      <c r="J94" s="17">
        <f t="shared" si="7"/>
        <v>44.351860913068279</v>
      </c>
    </row>
    <row r="95" spans="1:10" ht="15.75" customHeight="1" x14ac:dyDescent="0.25">
      <c r="A95" s="8" t="s">
        <v>60</v>
      </c>
      <c r="B95" s="13">
        <v>2029</v>
      </c>
      <c r="C95" s="15">
        <v>307691</v>
      </c>
      <c r="D95" s="15">
        <v>207513</v>
      </c>
      <c r="E95" s="14">
        <f>Tasas_Informalidad_Proy!$E$27</f>
        <v>52.944299999999998</v>
      </c>
      <c r="F95" s="15">
        <f t="shared" si="4"/>
        <v>109866.30525899999</v>
      </c>
      <c r="G95" s="15">
        <f t="shared" si="5"/>
        <v>97646.694740999999</v>
      </c>
      <c r="H95" s="18">
        <f>E95-'Historico_GEIH_2007-2026'!$M$27</f>
        <v>-2.0557000000000016</v>
      </c>
      <c r="I95" s="19">
        <f t="shared" si="6"/>
        <v>67.442011628549423</v>
      </c>
      <c r="J95" s="19">
        <f t="shared" si="7"/>
        <v>48.2755297258485</v>
      </c>
    </row>
    <row r="96" spans="1:10" ht="15.75" customHeight="1" x14ac:dyDescent="0.25">
      <c r="A96" s="6" t="s">
        <v>61</v>
      </c>
      <c r="B96" s="10">
        <v>2029</v>
      </c>
      <c r="C96" s="12">
        <v>346132</v>
      </c>
      <c r="D96" s="12">
        <v>234246</v>
      </c>
      <c r="E96" s="11">
        <f>Tasas_Informalidad_Proy!$E$28</f>
        <v>66.314499999999995</v>
      </c>
      <c r="F96" s="12">
        <f t="shared" si="4"/>
        <v>155339.06366999997</v>
      </c>
      <c r="G96" s="12">
        <f t="shared" si="5"/>
        <v>78906.936329999997</v>
      </c>
      <c r="H96" s="16">
        <f>E96-'Historico_GEIH_2007-2026'!$M$28</f>
        <v>-1.9855000000000018</v>
      </c>
      <c r="I96" s="17">
        <f t="shared" si="6"/>
        <v>67.675337732425774</v>
      </c>
      <c r="J96" s="17">
        <f t="shared" si="7"/>
        <v>47.764316146273579</v>
      </c>
    </row>
    <row r="97" spans="1:10" ht="15.75" customHeight="1" x14ac:dyDescent="0.25">
      <c r="A97" s="6" t="s">
        <v>39</v>
      </c>
      <c r="B97" s="10">
        <v>2030</v>
      </c>
      <c r="C97" s="12">
        <v>7916525</v>
      </c>
      <c r="D97" s="12">
        <v>5654625</v>
      </c>
      <c r="E97" s="11">
        <f>Tasas_Informalidad_Proy!$F$6</f>
        <v>40.120399999999997</v>
      </c>
      <c r="F97" s="12">
        <f t="shared" si="4"/>
        <v>2268658.1685000001</v>
      </c>
      <c r="G97" s="12">
        <f t="shared" si="5"/>
        <v>3385966.8315000008</v>
      </c>
      <c r="H97" s="16">
        <f>E97-'Historico_GEIH_2007-2026'!$M$6</f>
        <v>-2.4796000000000049</v>
      </c>
      <c r="I97" s="17">
        <f t="shared" si="6"/>
        <v>71.428120292678926</v>
      </c>
      <c r="J97" s="17">
        <f t="shared" si="7"/>
        <v>40.000884231934037</v>
      </c>
    </row>
    <row r="98" spans="1:10" ht="15.75" customHeight="1" x14ac:dyDescent="0.25">
      <c r="A98" s="8" t="s">
        <v>40</v>
      </c>
      <c r="B98" s="13">
        <v>2030</v>
      </c>
      <c r="C98" s="15">
        <v>2510536</v>
      </c>
      <c r="D98" s="15">
        <v>1744659</v>
      </c>
      <c r="E98" s="14">
        <f>Tasas_Informalidad_Proy!$F$7</f>
        <v>40.056800000000003</v>
      </c>
      <c r="F98" s="15">
        <f t="shared" si="4"/>
        <v>698854.56631200004</v>
      </c>
      <c r="G98" s="15">
        <f t="shared" si="5"/>
        <v>1045804.433688</v>
      </c>
      <c r="H98" s="18">
        <f>E98-'Historico_GEIH_2007-2026'!$M$7</f>
        <v>-3.1432000000000002</v>
      </c>
      <c r="I98" s="19">
        <f t="shared" si="6"/>
        <v>69.493486649862817</v>
      </c>
      <c r="J98" s="19">
        <f t="shared" si="7"/>
        <v>43.898377849195747</v>
      </c>
    </row>
    <row r="99" spans="1:10" ht="15.75" customHeight="1" x14ac:dyDescent="0.25">
      <c r="A99" s="6" t="s">
        <v>41</v>
      </c>
      <c r="B99" s="10">
        <v>2030</v>
      </c>
      <c r="C99" s="12">
        <v>2233593</v>
      </c>
      <c r="D99" s="12">
        <v>1540451</v>
      </c>
      <c r="E99" s="11">
        <f>Tasas_Informalidad_Proy!$F$8</f>
        <v>47.3078</v>
      </c>
      <c r="F99" s="12">
        <f t="shared" si="4"/>
        <v>728753.47817799996</v>
      </c>
      <c r="G99" s="12">
        <f t="shared" si="5"/>
        <v>811697.52182200004</v>
      </c>
      <c r="H99" s="16">
        <f>E99-'Historico_GEIH_2007-2026'!$M$8</f>
        <v>-2.9921999999999969</v>
      </c>
      <c r="I99" s="17">
        <f t="shared" si="6"/>
        <v>68.967399163589789</v>
      </c>
      <c r="J99" s="17">
        <f t="shared" si="7"/>
        <v>44.996043366520581</v>
      </c>
    </row>
    <row r="100" spans="1:10" ht="15.75" customHeight="1" x14ac:dyDescent="0.25">
      <c r="A100" s="8" t="s">
        <v>42</v>
      </c>
      <c r="B100" s="13">
        <v>2030</v>
      </c>
      <c r="C100" s="15">
        <v>1254536</v>
      </c>
      <c r="D100" s="15">
        <v>851588</v>
      </c>
      <c r="E100" s="14">
        <f>Tasas_Informalidad_Proy!$F$9</f>
        <v>53.876899999999999</v>
      </c>
      <c r="F100" s="15">
        <f t="shared" si="4"/>
        <v>458809.215172</v>
      </c>
      <c r="G100" s="15">
        <f t="shared" si="5"/>
        <v>392778.78482800006</v>
      </c>
      <c r="H100" s="18">
        <f>E100-'Historico_GEIH_2007-2026'!$M$9</f>
        <v>-2.3231000000000037</v>
      </c>
      <c r="I100" s="19">
        <f t="shared" si="6"/>
        <v>67.880714463355375</v>
      </c>
      <c r="J100" s="19">
        <f t="shared" si="7"/>
        <v>47.317247307383383</v>
      </c>
    </row>
    <row r="101" spans="1:10" ht="15.75" customHeight="1" x14ac:dyDescent="0.25">
      <c r="A101" s="6" t="s">
        <v>43</v>
      </c>
      <c r="B101" s="10">
        <v>2030</v>
      </c>
      <c r="C101" s="12">
        <v>619876</v>
      </c>
      <c r="D101" s="12">
        <v>423419</v>
      </c>
      <c r="E101" s="11">
        <f>Tasas_Informalidad_Proy!$F$10</f>
        <v>59.4238</v>
      </c>
      <c r="F101" s="12">
        <f t="shared" si="4"/>
        <v>251611.65972199998</v>
      </c>
      <c r="G101" s="12">
        <f t="shared" si="5"/>
        <v>171807.34027799999</v>
      </c>
      <c r="H101" s="16">
        <f>E101-'Historico_GEIH_2007-2026'!$M$10</f>
        <v>-2.9761999999999986</v>
      </c>
      <c r="I101" s="17">
        <f t="shared" si="6"/>
        <v>68.307048506475482</v>
      </c>
      <c r="J101" s="17">
        <f t="shared" si="7"/>
        <v>46.397776198044959</v>
      </c>
    </row>
    <row r="102" spans="1:10" ht="15.75" customHeight="1" x14ac:dyDescent="0.25">
      <c r="A102" s="8" t="s">
        <v>44</v>
      </c>
      <c r="B102" s="13">
        <v>2030</v>
      </c>
      <c r="C102" s="15">
        <v>488352</v>
      </c>
      <c r="D102" s="15">
        <v>334682</v>
      </c>
      <c r="E102" s="14">
        <f>Tasas_Informalidad_Proy!$F$11</f>
        <v>47.137500000000003</v>
      </c>
      <c r="F102" s="15">
        <f t="shared" si="4"/>
        <v>157760.72774999999</v>
      </c>
      <c r="G102" s="15">
        <f t="shared" si="5"/>
        <v>176921.27224999998</v>
      </c>
      <c r="H102" s="18">
        <f>E102-'Historico_GEIH_2007-2026'!$M$11</f>
        <v>-2.7624999999999957</v>
      </c>
      <c r="I102" s="19">
        <f t="shared" si="6"/>
        <v>68.53294345062578</v>
      </c>
      <c r="J102" s="19">
        <f t="shared" si="7"/>
        <v>45.915226991592014</v>
      </c>
    </row>
    <row r="103" spans="1:10" ht="15.75" customHeight="1" x14ac:dyDescent="0.25">
      <c r="A103" s="6" t="s">
        <v>45</v>
      </c>
      <c r="B103" s="10">
        <v>2030</v>
      </c>
      <c r="C103" s="12">
        <v>406050</v>
      </c>
      <c r="D103" s="12">
        <v>291097</v>
      </c>
      <c r="E103" s="11">
        <f>Tasas_Informalidad_Proy!$F$12</f>
        <v>66.711799999999997</v>
      </c>
      <c r="F103" s="12">
        <f t="shared" si="4"/>
        <v>194196.048446</v>
      </c>
      <c r="G103" s="12">
        <f t="shared" si="5"/>
        <v>96900.951553999999</v>
      </c>
      <c r="H103" s="16">
        <f>E103-'Historico_GEIH_2007-2026'!$M$12</f>
        <v>-2.188200000000009</v>
      </c>
      <c r="I103" s="17">
        <f t="shared" si="6"/>
        <v>71.689939662603138</v>
      </c>
      <c r="J103" s="17">
        <f t="shared" si="7"/>
        <v>39.489585945578277</v>
      </c>
    </row>
    <row r="104" spans="1:10" ht="15.75" customHeight="1" x14ac:dyDescent="0.25">
      <c r="A104" s="8" t="s">
        <v>46</v>
      </c>
      <c r="B104" s="13">
        <v>2030</v>
      </c>
      <c r="C104" s="15">
        <v>487471</v>
      </c>
      <c r="D104" s="15">
        <v>329621</v>
      </c>
      <c r="E104" s="14">
        <f>Tasas_Informalidad_Proy!$F$13</f>
        <v>55.130299999999998</v>
      </c>
      <c r="F104" s="15">
        <f t="shared" si="4"/>
        <v>181721.04616299999</v>
      </c>
      <c r="G104" s="15">
        <f t="shared" si="5"/>
        <v>147899.95383700001</v>
      </c>
      <c r="H104" s="18">
        <f>E104-'Historico_GEIH_2007-2026'!$M$13</f>
        <v>-2.3697000000000017</v>
      </c>
      <c r="I104" s="19">
        <f t="shared" si="6"/>
        <v>67.618586541558372</v>
      </c>
      <c r="J104" s="19">
        <f t="shared" si="7"/>
        <v>47.888332357465089</v>
      </c>
    </row>
    <row r="105" spans="1:10" ht="15.75" customHeight="1" x14ac:dyDescent="0.25">
      <c r="A105" s="6" t="s">
        <v>47</v>
      </c>
      <c r="B105" s="10">
        <v>2030</v>
      </c>
      <c r="C105" s="12">
        <v>784007</v>
      </c>
      <c r="D105" s="12">
        <v>547462</v>
      </c>
      <c r="E105" s="11">
        <f>Tasas_Informalidad_Proy!$F$14</f>
        <v>67.484700000000004</v>
      </c>
      <c r="F105" s="12">
        <f t="shared" si="4"/>
        <v>369453.08831399999</v>
      </c>
      <c r="G105" s="12">
        <f t="shared" si="5"/>
        <v>178008.91168599995</v>
      </c>
      <c r="H105" s="16">
        <f>E105-'Historico_GEIH_2007-2026'!$M$14</f>
        <v>-2.8152999999999935</v>
      </c>
      <c r="I105" s="17">
        <f t="shared" si="6"/>
        <v>69.828713264039735</v>
      </c>
      <c r="J105" s="17">
        <f t="shared" si="7"/>
        <v>43.20756509127574</v>
      </c>
    </row>
    <row r="106" spans="1:10" ht="15.75" customHeight="1" x14ac:dyDescent="0.25">
      <c r="A106" s="8" t="s">
        <v>48</v>
      </c>
      <c r="B106" s="13">
        <v>2030</v>
      </c>
      <c r="C106" s="15">
        <v>565198</v>
      </c>
      <c r="D106" s="15">
        <v>383105</v>
      </c>
      <c r="E106" s="14">
        <f>Tasas_Informalidad_Proy!$F$15</f>
        <v>58.503900000000002</v>
      </c>
      <c r="F106" s="15">
        <f t="shared" si="4"/>
        <v>224131.36609500003</v>
      </c>
      <c r="G106" s="15">
        <f t="shared" si="5"/>
        <v>158973.633905</v>
      </c>
      <c r="H106" s="18">
        <f>E106-'Historico_GEIH_2007-2026'!$M$15</f>
        <v>-1.9960999999999984</v>
      </c>
      <c r="I106" s="19">
        <f t="shared" si="6"/>
        <v>67.782440843739707</v>
      </c>
      <c r="J106" s="19">
        <f t="shared" si="7"/>
        <v>47.530833583482334</v>
      </c>
    </row>
    <row r="107" spans="1:10" ht="15.75" customHeight="1" x14ac:dyDescent="0.25">
      <c r="A107" s="6" t="s">
        <v>49</v>
      </c>
      <c r="B107" s="10">
        <v>2030</v>
      </c>
      <c r="C107" s="12">
        <v>624991</v>
      </c>
      <c r="D107" s="12">
        <v>421824</v>
      </c>
      <c r="E107" s="11">
        <f>Tasas_Informalidad_Proy!$F$16</f>
        <v>71.9636</v>
      </c>
      <c r="F107" s="12">
        <f t="shared" si="4"/>
        <v>303559.736064</v>
      </c>
      <c r="G107" s="12">
        <f t="shared" si="5"/>
        <v>118264.26393600002</v>
      </c>
      <c r="H107" s="16">
        <f>E107-'Historico_GEIH_2007-2026'!$M$16</f>
        <v>-2.4364000000000061</v>
      </c>
      <c r="I107" s="17">
        <f t="shared" si="6"/>
        <v>67.492811896491318</v>
      </c>
      <c r="J107" s="17">
        <f t="shared" si="7"/>
        <v>48.163926187225002</v>
      </c>
    </row>
    <row r="108" spans="1:10" ht="15.75" customHeight="1" x14ac:dyDescent="0.25">
      <c r="A108" s="8" t="s">
        <v>50</v>
      </c>
      <c r="B108" s="13">
        <v>2030</v>
      </c>
      <c r="C108" s="15">
        <v>1005215</v>
      </c>
      <c r="D108" s="15">
        <v>671382</v>
      </c>
      <c r="E108" s="14">
        <f>Tasas_Informalidad_Proy!$F$17</f>
        <v>53.848700000000001</v>
      </c>
      <c r="F108" s="15">
        <f t="shared" si="4"/>
        <v>361530.47903400002</v>
      </c>
      <c r="G108" s="15">
        <f t="shared" si="5"/>
        <v>309851.52096599998</v>
      </c>
      <c r="H108" s="18">
        <f>E108-'Historico_GEIH_2007-2026'!$M$17</f>
        <v>-2.2513000000000005</v>
      </c>
      <c r="I108" s="19">
        <f t="shared" si="6"/>
        <v>66.789890719895737</v>
      </c>
      <c r="J108" s="19">
        <f t="shared" si="7"/>
        <v>49.723257400406922</v>
      </c>
    </row>
    <row r="109" spans="1:10" ht="15.75" customHeight="1" x14ac:dyDescent="0.25">
      <c r="A109" s="6" t="s">
        <v>51</v>
      </c>
      <c r="B109" s="10">
        <v>2030</v>
      </c>
      <c r="C109" s="12">
        <v>603587</v>
      </c>
      <c r="D109" s="12">
        <v>422276</v>
      </c>
      <c r="E109" s="11">
        <f>Tasas_Informalidad_Proy!$F$18</f>
        <v>59.026800000000001</v>
      </c>
      <c r="F109" s="12">
        <f t="shared" si="4"/>
        <v>249256.00996800003</v>
      </c>
      <c r="G109" s="12">
        <f t="shared" si="5"/>
        <v>173019.990032</v>
      </c>
      <c r="H109" s="16">
        <f>E109-'Historico_GEIH_2007-2026'!$M$18</f>
        <v>-2.2731999999999957</v>
      </c>
      <c r="I109" s="17">
        <f t="shared" si="6"/>
        <v>69.961082660826023</v>
      </c>
      <c r="J109" s="17">
        <f t="shared" si="7"/>
        <v>42.93661017912455</v>
      </c>
    </row>
    <row r="110" spans="1:10" ht="15.75" customHeight="1" x14ac:dyDescent="0.25">
      <c r="A110" s="8" t="s">
        <v>52</v>
      </c>
      <c r="B110" s="13">
        <v>2030</v>
      </c>
      <c r="C110" s="15">
        <v>198604</v>
      </c>
      <c r="D110" s="15">
        <v>142012</v>
      </c>
      <c r="E110" s="14">
        <f>Tasas_Informalidad_Proy!$F$19</f>
        <v>58.945599999999999</v>
      </c>
      <c r="F110" s="15">
        <f t="shared" si="4"/>
        <v>83709.825471999997</v>
      </c>
      <c r="G110" s="15">
        <f t="shared" si="5"/>
        <v>58302.174528000003</v>
      </c>
      <c r="H110" s="18">
        <f>E110-'Historico_GEIH_2007-2026'!$M$19</f>
        <v>-2.254400000000004</v>
      </c>
      <c r="I110" s="19">
        <f t="shared" si="6"/>
        <v>71.505105637348692</v>
      </c>
      <c r="J110" s="19">
        <f t="shared" si="7"/>
        <v>39.850153508154243</v>
      </c>
    </row>
    <row r="111" spans="1:10" ht="15.75" customHeight="1" x14ac:dyDescent="0.25">
      <c r="A111" s="6" t="s">
        <v>53</v>
      </c>
      <c r="B111" s="10">
        <v>2030</v>
      </c>
      <c r="C111" s="12">
        <v>195884</v>
      </c>
      <c r="D111" s="12">
        <v>136243</v>
      </c>
      <c r="E111" s="11">
        <f>Tasas_Informalidad_Proy!$F$20</f>
        <v>73.243499999999997</v>
      </c>
      <c r="F111" s="12">
        <f t="shared" si="4"/>
        <v>99789.141704999987</v>
      </c>
      <c r="G111" s="12">
        <f t="shared" si="5"/>
        <v>36453.858295000005</v>
      </c>
      <c r="H111" s="16">
        <f>E111-'Historico_GEIH_2007-2026'!$M$20</f>
        <v>-2.2565000000000026</v>
      </c>
      <c r="I111" s="17">
        <f t="shared" si="6"/>
        <v>69.552898654305608</v>
      </c>
      <c r="J111" s="17">
        <f t="shared" si="7"/>
        <v>43.775460023634245</v>
      </c>
    </row>
    <row r="112" spans="1:10" ht="15.75" customHeight="1" x14ac:dyDescent="0.25">
      <c r="A112" s="8" t="s">
        <v>54</v>
      </c>
      <c r="B112" s="13">
        <v>2030</v>
      </c>
      <c r="C112" s="15">
        <v>366440</v>
      </c>
      <c r="D112" s="15">
        <v>257060</v>
      </c>
      <c r="E112" s="14">
        <f>Tasas_Informalidad_Proy!$F$21</f>
        <v>66.817999999999998</v>
      </c>
      <c r="F112" s="15">
        <f t="shared" si="4"/>
        <v>171762.35079999999</v>
      </c>
      <c r="G112" s="15">
        <f t="shared" si="5"/>
        <v>85297.6492</v>
      </c>
      <c r="H112" s="18">
        <f>E112-'Historico_GEIH_2007-2026'!$M$21</f>
        <v>-2.1820000000000022</v>
      </c>
      <c r="I112" s="19">
        <f t="shared" si="6"/>
        <v>70.150638576574607</v>
      </c>
      <c r="J112" s="19">
        <f t="shared" si="7"/>
        <v>42.550377343810787</v>
      </c>
    </row>
    <row r="113" spans="1:10" ht="15.75" customHeight="1" x14ac:dyDescent="0.25">
      <c r="A113" s="6" t="s">
        <v>55</v>
      </c>
      <c r="B113" s="10">
        <v>2030</v>
      </c>
      <c r="C113" s="12">
        <v>679551</v>
      </c>
      <c r="D113" s="12">
        <v>464857</v>
      </c>
      <c r="E113" s="11">
        <f>Tasas_Informalidad_Proy!$F$22</f>
        <v>65.326899999999995</v>
      </c>
      <c r="F113" s="12">
        <f t="shared" si="4"/>
        <v>303676.66753299994</v>
      </c>
      <c r="G113" s="12">
        <f t="shared" si="5"/>
        <v>161180.332467</v>
      </c>
      <c r="H113" s="16">
        <f>E113-'Historico_GEIH_2007-2026'!$M$22</f>
        <v>-2.2730999999999995</v>
      </c>
      <c r="I113" s="17">
        <f t="shared" si="6"/>
        <v>68.406491933644418</v>
      </c>
      <c r="J113" s="17">
        <f t="shared" si="7"/>
        <v>46.184955803612723</v>
      </c>
    </row>
    <row r="114" spans="1:10" ht="15.75" customHeight="1" x14ac:dyDescent="0.25">
      <c r="A114" s="8" t="s">
        <v>56</v>
      </c>
      <c r="B114" s="13">
        <v>2030</v>
      </c>
      <c r="C114" s="15">
        <v>148906</v>
      </c>
      <c r="D114" s="15">
        <v>101216</v>
      </c>
      <c r="E114" s="14">
        <f>Tasas_Informalidad_Proy!$F$23</f>
        <v>76.258499999999998</v>
      </c>
      <c r="F114" s="15">
        <f t="shared" si="4"/>
        <v>77185.803360000005</v>
      </c>
      <c r="G114" s="15">
        <f t="shared" si="5"/>
        <v>24030.196640000006</v>
      </c>
      <c r="H114" s="18">
        <f>E114-'Historico_GEIH_2007-2026'!$M$23</f>
        <v>-2.241500000000002</v>
      </c>
      <c r="I114" s="19">
        <f t="shared" si="6"/>
        <v>67.973083690381856</v>
      </c>
      <c r="J114" s="19">
        <f t="shared" si="7"/>
        <v>47.117056591843188</v>
      </c>
    </row>
    <row r="115" spans="1:10" ht="15.75" customHeight="1" x14ac:dyDescent="0.25">
      <c r="A115" s="6" t="s">
        <v>57</v>
      </c>
      <c r="B115" s="10">
        <v>2030</v>
      </c>
      <c r="C115" s="12">
        <v>429434</v>
      </c>
      <c r="D115" s="12">
        <v>293068</v>
      </c>
      <c r="E115" s="11">
        <f>Tasas_Informalidad_Proy!$F$24</f>
        <v>62.745899999999999</v>
      </c>
      <c r="F115" s="12">
        <f t="shared" si="4"/>
        <v>183888.15421199999</v>
      </c>
      <c r="G115" s="12">
        <f t="shared" si="5"/>
        <v>109179.84578800001</v>
      </c>
      <c r="H115" s="16">
        <f>E115-'Historico_GEIH_2007-2026'!$M$24</f>
        <v>-2.2541000000000011</v>
      </c>
      <c r="I115" s="17">
        <f t="shared" si="6"/>
        <v>68.245178537330531</v>
      </c>
      <c r="J115" s="17">
        <f t="shared" si="7"/>
        <v>46.530498041410183</v>
      </c>
    </row>
    <row r="116" spans="1:10" ht="15.75" customHeight="1" x14ac:dyDescent="0.25">
      <c r="A116" s="8" t="s">
        <v>58</v>
      </c>
      <c r="B116" s="13">
        <v>2030</v>
      </c>
      <c r="C116" s="15">
        <v>214081</v>
      </c>
      <c r="D116" s="15">
        <v>143113</v>
      </c>
      <c r="E116" s="14">
        <f>Tasas_Informalidad_Proy!$F$25</f>
        <v>71.016800000000003</v>
      </c>
      <c r="F116" s="15">
        <f t="shared" si="4"/>
        <v>101634.272984</v>
      </c>
      <c r="G116" s="15">
        <f t="shared" si="5"/>
        <v>41478.727015999997</v>
      </c>
      <c r="H116" s="18">
        <f>E116-'Historico_GEIH_2007-2026'!$M$25</f>
        <v>-2.2831999999999937</v>
      </c>
      <c r="I116" s="19">
        <f t="shared" si="6"/>
        <v>66.849930633732086</v>
      </c>
      <c r="J116" s="19">
        <f t="shared" si="7"/>
        <v>49.588786483408214</v>
      </c>
    </row>
    <row r="117" spans="1:10" ht="15.75" customHeight="1" x14ac:dyDescent="0.25">
      <c r="A117" s="6" t="s">
        <v>59</v>
      </c>
      <c r="B117" s="10">
        <v>2030</v>
      </c>
      <c r="C117" s="12">
        <v>609461</v>
      </c>
      <c r="D117" s="12">
        <v>424024</v>
      </c>
      <c r="E117" s="11">
        <f>Tasas_Informalidad_Proy!$F$26</f>
        <v>56.433199999999999</v>
      </c>
      <c r="F117" s="12">
        <f t="shared" si="4"/>
        <v>239290.31196800002</v>
      </c>
      <c r="G117" s="12">
        <f t="shared" si="5"/>
        <v>184733.68803200003</v>
      </c>
      <c r="H117" s="16">
        <f>E117-'Historico_GEIH_2007-2026'!$M$26</f>
        <v>-2.2668000000000035</v>
      </c>
      <c r="I117" s="17">
        <f t="shared" si="6"/>
        <v>69.573606842767617</v>
      </c>
      <c r="J117" s="17">
        <f t="shared" si="7"/>
        <v>43.732666075505158</v>
      </c>
    </row>
    <row r="118" spans="1:10" ht="15.75" customHeight="1" x14ac:dyDescent="0.25">
      <c r="A118" s="8" t="s">
        <v>60</v>
      </c>
      <c r="B118" s="13">
        <v>2030</v>
      </c>
      <c r="C118" s="15">
        <v>307641</v>
      </c>
      <c r="D118" s="15">
        <v>207082</v>
      </c>
      <c r="E118" s="14">
        <f>Tasas_Informalidad_Proy!$F$27</f>
        <v>52.626800000000003</v>
      </c>
      <c r="F118" s="15">
        <f t="shared" si="4"/>
        <v>108980.629976</v>
      </c>
      <c r="G118" s="15">
        <f t="shared" si="5"/>
        <v>98101.370023999989</v>
      </c>
      <c r="H118" s="18">
        <f>E118-'Historico_GEIH_2007-2026'!$M$27</f>
        <v>-2.3731999999999971</v>
      </c>
      <c r="I118" s="19">
        <f t="shared" si="6"/>
        <v>67.312874421809838</v>
      </c>
      <c r="J118" s="19">
        <f t="shared" si="7"/>
        <v>48.559990728310524</v>
      </c>
    </row>
    <row r="119" spans="1:10" ht="15.75" customHeight="1" x14ac:dyDescent="0.25">
      <c r="A119" s="6" t="s">
        <v>61</v>
      </c>
      <c r="B119" s="10">
        <v>2030</v>
      </c>
      <c r="C119" s="12">
        <v>350835</v>
      </c>
      <c r="D119" s="12">
        <v>238146</v>
      </c>
      <c r="E119" s="11">
        <f>Tasas_Informalidad_Proy!$F$28</f>
        <v>65.9923</v>
      </c>
      <c r="F119" s="12">
        <f t="shared" si="4"/>
        <v>157158.02275800001</v>
      </c>
      <c r="G119" s="12">
        <f t="shared" si="5"/>
        <v>80987.977241999994</v>
      </c>
      <c r="H119" s="16">
        <f>E119-'Historico_GEIH_2007-2026'!$M$28</f>
        <v>-2.307699999999997</v>
      </c>
      <c r="I119" s="17">
        <f t="shared" si="6"/>
        <v>67.879772542648254</v>
      </c>
      <c r="J119" s="17">
        <f t="shared" si="7"/>
        <v>47.319291527046431</v>
      </c>
    </row>
    <row r="120" spans="1:10" ht="15.75" customHeight="1" x14ac:dyDescent="0.25">
      <c r="A120" s="6" t="s">
        <v>39</v>
      </c>
      <c r="B120" s="10">
        <v>2031</v>
      </c>
      <c r="C120" s="12">
        <v>7901596</v>
      </c>
      <c r="D120" s="12">
        <v>5636724</v>
      </c>
      <c r="E120" s="11">
        <f>Tasas_Informalidad_Proy!$G$6</f>
        <v>39.808100000000003</v>
      </c>
      <c r="F120" s="12">
        <f t="shared" si="4"/>
        <v>2243872.726644</v>
      </c>
      <c r="G120" s="12">
        <f t="shared" si="5"/>
        <v>3392851.273356</v>
      </c>
      <c r="H120" s="16">
        <f>E120-'Historico_GEIH_2007-2026'!$M$6</f>
        <v>-2.7918999999999983</v>
      </c>
      <c r="I120" s="17">
        <f t="shared" si="6"/>
        <v>71.336524924837974</v>
      </c>
      <c r="J120" s="17">
        <f t="shared" si="7"/>
        <v>40.180643934313622</v>
      </c>
    </row>
    <row r="121" spans="1:10" ht="15.75" customHeight="1" x14ac:dyDescent="0.25">
      <c r="A121" s="8" t="s">
        <v>40</v>
      </c>
      <c r="B121" s="13">
        <v>2031</v>
      </c>
      <c r="C121" s="15">
        <v>2504515</v>
      </c>
      <c r="D121" s="15">
        <v>1736104</v>
      </c>
      <c r="E121" s="14">
        <f>Tasas_Informalidad_Proy!$G$7</f>
        <v>39.6631</v>
      </c>
      <c r="F121" s="15">
        <f t="shared" si="4"/>
        <v>688592.66562400002</v>
      </c>
      <c r="G121" s="15">
        <f t="shared" si="5"/>
        <v>1047511.3343760001</v>
      </c>
      <c r="H121" s="18">
        <f>E121-'Historico_GEIH_2007-2026'!$M$7</f>
        <v>-3.5369000000000028</v>
      </c>
      <c r="I121" s="19">
        <f t="shared" si="6"/>
        <v>69.318969940287843</v>
      </c>
      <c r="J121" s="19">
        <f t="shared" si="7"/>
        <v>44.260654891642439</v>
      </c>
    </row>
    <row r="122" spans="1:10" ht="15.75" customHeight="1" x14ac:dyDescent="0.25">
      <c r="A122" s="6" t="s">
        <v>41</v>
      </c>
      <c r="B122" s="10">
        <v>2031</v>
      </c>
      <c r="C122" s="12">
        <v>2223303</v>
      </c>
      <c r="D122" s="12">
        <v>1530421</v>
      </c>
      <c r="E122" s="11">
        <f>Tasas_Informalidad_Proy!$G$8</f>
        <v>46.938600000000001</v>
      </c>
      <c r="F122" s="12">
        <f t="shared" si="4"/>
        <v>718358.191506</v>
      </c>
      <c r="G122" s="12">
        <f t="shared" si="5"/>
        <v>812062.80849399988</v>
      </c>
      <c r="H122" s="16">
        <f>E122-'Historico_GEIH_2007-2026'!$M$8</f>
        <v>-3.3613999999999962</v>
      </c>
      <c r="I122" s="17">
        <f t="shared" si="6"/>
        <v>68.835466870687441</v>
      </c>
      <c r="J122" s="17">
        <f t="shared" si="7"/>
        <v>45.273947495493076</v>
      </c>
    </row>
    <row r="123" spans="1:10" ht="15.75" customHeight="1" x14ac:dyDescent="0.25">
      <c r="A123" s="8" t="s">
        <v>42</v>
      </c>
      <c r="B123" s="13">
        <v>2031</v>
      </c>
      <c r="C123" s="15">
        <v>1248047</v>
      </c>
      <c r="D123" s="15">
        <v>847783</v>
      </c>
      <c r="E123" s="14">
        <f>Tasas_Informalidad_Proy!$G$9</f>
        <v>53.555799999999998</v>
      </c>
      <c r="F123" s="15">
        <f t="shared" si="4"/>
        <v>454036.96791399998</v>
      </c>
      <c r="G123" s="15">
        <f t="shared" si="5"/>
        <v>393746.03208600002</v>
      </c>
      <c r="H123" s="18">
        <f>E123-'Historico_GEIH_2007-2026'!$M$9</f>
        <v>-2.644200000000005</v>
      </c>
      <c r="I123" s="19">
        <f t="shared" si="6"/>
        <v>67.928771913237242</v>
      </c>
      <c r="J123" s="19">
        <f t="shared" si="7"/>
        <v>47.213025031169529</v>
      </c>
    </row>
    <row r="124" spans="1:10" ht="15.75" customHeight="1" x14ac:dyDescent="0.25">
      <c r="A124" s="6" t="s">
        <v>43</v>
      </c>
      <c r="B124" s="10">
        <v>2031</v>
      </c>
      <c r="C124" s="12">
        <v>619832</v>
      </c>
      <c r="D124" s="12">
        <v>422820</v>
      </c>
      <c r="E124" s="11">
        <f>Tasas_Informalidad_Proy!$G$10</f>
        <v>59.028799999999997</v>
      </c>
      <c r="F124" s="12">
        <f t="shared" si="4"/>
        <v>249585.57215999998</v>
      </c>
      <c r="G124" s="12">
        <f t="shared" si="5"/>
        <v>173234.42784000002</v>
      </c>
      <c r="H124" s="16">
        <f>E124-'Historico_GEIH_2007-2026'!$M$10</f>
        <v>-3.3712000000000018</v>
      </c>
      <c r="I124" s="17">
        <f t="shared" si="6"/>
        <v>68.215258328063086</v>
      </c>
      <c r="J124" s="17">
        <f t="shared" si="7"/>
        <v>46.594768459391709</v>
      </c>
    </row>
    <row r="125" spans="1:10" ht="15.75" customHeight="1" x14ac:dyDescent="0.25">
      <c r="A125" s="8" t="s">
        <v>44</v>
      </c>
      <c r="B125" s="13">
        <v>2031</v>
      </c>
      <c r="C125" s="15">
        <v>491137</v>
      </c>
      <c r="D125" s="15">
        <v>335973</v>
      </c>
      <c r="E125" s="14">
        <f>Tasas_Informalidad_Proy!$G$11</f>
        <v>46.779699999999998</v>
      </c>
      <c r="F125" s="15">
        <f t="shared" si="4"/>
        <v>157167.16148099999</v>
      </c>
      <c r="G125" s="15">
        <f t="shared" si="5"/>
        <v>178805.83851899998</v>
      </c>
      <c r="H125" s="18">
        <f>E125-'Historico_GEIH_2007-2026'!$M$11</f>
        <v>-3.1203000000000003</v>
      </c>
      <c r="I125" s="19">
        <f t="shared" si="6"/>
        <v>68.407185775048504</v>
      </c>
      <c r="J125" s="19">
        <f t="shared" si="7"/>
        <v>46.183473076705567</v>
      </c>
    </row>
    <row r="126" spans="1:10" ht="15.75" customHeight="1" x14ac:dyDescent="0.25">
      <c r="A126" s="6" t="s">
        <v>45</v>
      </c>
      <c r="B126" s="10">
        <v>2031</v>
      </c>
      <c r="C126" s="12">
        <v>406031</v>
      </c>
      <c r="D126" s="12">
        <v>291260</v>
      </c>
      <c r="E126" s="11">
        <f>Tasas_Informalidad_Proy!$G$12</f>
        <v>66.424099999999996</v>
      </c>
      <c r="F126" s="12">
        <f t="shared" si="4"/>
        <v>193466.83366</v>
      </c>
      <c r="G126" s="12">
        <f t="shared" si="5"/>
        <v>97793.166340000011</v>
      </c>
      <c r="H126" s="16">
        <f>E126-'Historico_GEIH_2007-2026'!$M$12</f>
        <v>-2.47590000000001</v>
      </c>
      <c r="I126" s="17">
        <f t="shared" si="6"/>
        <v>71.733439072386091</v>
      </c>
      <c r="J126" s="17">
        <f t="shared" si="7"/>
        <v>39.404998969992441</v>
      </c>
    </row>
    <row r="127" spans="1:10" ht="15.75" customHeight="1" x14ac:dyDescent="0.25">
      <c r="A127" s="8" t="s">
        <v>46</v>
      </c>
      <c r="B127" s="13">
        <v>2031</v>
      </c>
      <c r="C127" s="15">
        <v>486854</v>
      </c>
      <c r="D127" s="15">
        <v>328755</v>
      </c>
      <c r="E127" s="14">
        <f>Tasas_Informalidad_Proy!$G$13</f>
        <v>54.791800000000002</v>
      </c>
      <c r="F127" s="15">
        <f t="shared" si="4"/>
        <v>180130.78208999999</v>
      </c>
      <c r="G127" s="15">
        <f t="shared" si="5"/>
        <v>148624.21791000001</v>
      </c>
      <c r="H127" s="18">
        <f>E127-'Historico_GEIH_2007-2026'!$M$13</f>
        <v>-2.7081999999999979</v>
      </c>
      <c r="I127" s="19">
        <f t="shared" si="6"/>
        <v>67.526404219745544</v>
      </c>
      <c r="J127" s="19">
        <f t="shared" si="7"/>
        <v>48.090219160164864</v>
      </c>
    </row>
    <row r="128" spans="1:10" ht="15.75" customHeight="1" x14ac:dyDescent="0.25">
      <c r="A128" s="6" t="s">
        <v>47</v>
      </c>
      <c r="B128" s="10">
        <v>2031</v>
      </c>
      <c r="C128" s="12">
        <v>781563</v>
      </c>
      <c r="D128" s="12">
        <v>546673</v>
      </c>
      <c r="E128" s="11">
        <f>Tasas_Informalidad_Proy!$G$14</f>
        <v>67.1023</v>
      </c>
      <c r="F128" s="12">
        <f t="shared" si="4"/>
        <v>366830.156479</v>
      </c>
      <c r="G128" s="12">
        <f t="shared" si="5"/>
        <v>179842.84352099997</v>
      </c>
      <c r="H128" s="16">
        <f>E128-'Historico_GEIH_2007-2026'!$M$14</f>
        <v>-3.1976999999999975</v>
      </c>
      <c r="I128" s="17">
        <f t="shared" si="6"/>
        <v>69.946120786168237</v>
      </c>
      <c r="J128" s="17">
        <f t="shared" si="7"/>
        <v>42.967185136269762</v>
      </c>
    </row>
    <row r="129" spans="1:10" ht="15.75" customHeight="1" x14ac:dyDescent="0.25">
      <c r="A129" s="8" t="s">
        <v>48</v>
      </c>
      <c r="B129" s="13">
        <v>2031</v>
      </c>
      <c r="C129" s="15">
        <v>566788</v>
      </c>
      <c r="D129" s="15">
        <v>384027</v>
      </c>
      <c r="E129" s="14">
        <f>Tasas_Informalidad_Proy!$G$15</f>
        <v>58.196100000000001</v>
      </c>
      <c r="F129" s="15">
        <f t="shared" si="4"/>
        <v>223488.736947</v>
      </c>
      <c r="G129" s="15">
        <f t="shared" si="5"/>
        <v>160538.26305299997</v>
      </c>
      <c r="H129" s="18">
        <f>E129-'Historico_GEIH_2007-2026'!$M$15</f>
        <v>-2.3038999999999987</v>
      </c>
      <c r="I129" s="19">
        <f t="shared" si="6"/>
        <v>67.754963054969409</v>
      </c>
      <c r="J129" s="19">
        <f t="shared" si="7"/>
        <v>47.590664198090238</v>
      </c>
    </row>
    <row r="130" spans="1:10" ht="15.75" customHeight="1" x14ac:dyDescent="0.25">
      <c r="A130" s="6" t="s">
        <v>49</v>
      </c>
      <c r="B130" s="10">
        <v>2031</v>
      </c>
      <c r="C130" s="12">
        <v>634491</v>
      </c>
      <c r="D130" s="12">
        <v>429289</v>
      </c>
      <c r="E130" s="11">
        <f>Tasas_Informalidad_Proy!$G$16</f>
        <v>71.626499999999993</v>
      </c>
      <c r="F130" s="12">
        <f t="shared" si="4"/>
        <v>307484.68558499997</v>
      </c>
      <c r="G130" s="12">
        <f t="shared" si="5"/>
        <v>121804.31441500003</v>
      </c>
      <c r="H130" s="16">
        <f>E130-'Historico_GEIH_2007-2026'!$M$16</f>
        <v>-2.7735000000000127</v>
      </c>
      <c r="I130" s="17">
        <f t="shared" si="6"/>
        <v>67.65880051884109</v>
      </c>
      <c r="J130" s="17">
        <f t="shared" si="7"/>
        <v>47.800432808667352</v>
      </c>
    </row>
    <row r="131" spans="1:10" ht="15.75" customHeight="1" x14ac:dyDescent="0.25">
      <c r="A131" s="8" t="s">
        <v>50</v>
      </c>
      <c r="B131" s="13">
        <v>2031</v>
      </c>
      <c r="C131" s="15">
        <v>1003175</v>
      </c>
      <c r="D131" s="15">
        <v>670698</v>
      </c>
      <c r="E131" s="14">
        <f>Tasas_Informalidad_Proy!$G$17</f>
        <v>53.540300000000002</v>
      </c>
      <c r="F131" s="15">
        <f t="shared" si="4"/>
        <v>359093.72129399999</v>
      </c>
      <c r="G131" s="15">
        <f t="shared" si="5"/>
        <v>311604.27870599995</v>
      </c>
      <c r="H131" s="18">
        <f>E131-'Historico_GEIH_2007-2026'!$M$17</f>
        <v>-2.5596999999999994</v>
      </c>
      <c r="I131" s="19">
        <f t="shared" si="6"/>
        <v>66.857527350661655</v>
      </c>
      <c r="J131" s="19">
        <f t="shared" si="7"/>
        <v>49.571789389561324</v>
      </c>
    </row>
    <row r="132" spans="1:10" ht="15.75" customHeight="1" x14ac:dyDescent="0.25">
      <c r="A132" s="6" t="s">
        <v>51</v>
      </c>
      <c r="B132" s="10">
        <v>2031</v>
      </c>
      <c r="C132" s="12">
        <v>606950</v>
      </c>
      <c r="D132" s="12">
        <v>424915</v>
      </c>
      <c r="E132" s="11">
        <f>Tasas_Informalidad_Proy!$G$18</f>
        <v>58.709600000000002</v>
      </c>
      <c r="F132" s="12">
        <f t="shared" si="4"/>
        <v>249465.89684</v>
      </c>
      <c r="G132" s="12">
        <f t="shared" si="5"/>
        <v>175449.10315999997</v>
      </c>
      <c r="H132" s="16">
        <f>E132-'Historico_GEIH_2007-2026'!$M$18</f>
        <v>-2.5903999999999954</v>
      </c>
      <c r="I132" s="17">
        <f t="shared" si="6"/>
        <v>70.008237910865802</v>
      </c>
      <c r="J132" s="17">
        <f t="shared" si="7"/>
        <v>42.840332772436838</v>
      </c>
    </row>
    <row r="133" spans="1:10" ht="15.75" customHeight="1" x14ac:dyDescent="0.25">
      <c r="A133" s="8" t="s">
        <v>52</v>
      </c>
      <c r="B133" s="13">
        <v>2031</v>
      </c>
      <c r="C133" s="15">
        <v>200563</v>
      </c>
      <c r="D133" s="15">
        <v>143484</v>
      </c>
      <c r="E133" s="14">
        <f>Tasas_Informalidad_Proy!$G$19</f>
        <v>58.640999999999998</v>
      </c>
      <c r="F133" s="15">
        <f t="shared" ref="F133:F196" si="8">D133*E133/100</f>
        <v>84140.452439999994</v>
      </c>
      <c r="G133" s="15">
        <f t="shared" ref="G133:G196" si="9">D133*(1-E133/100)</f>
        <v>59343.547559999999</v>
      </c>
      <c r="H133" s="18">
        <f>E133-'Historico_GEIH_2007-2026'!$M$19</f>
        <v>-2.5590000000000046</v>
      </c>
      <c r="I133" s="19">
        <f t="shared" ref="I133:I196" si="10">IF(C133&gt;0,D133/C133*100,"")</f>
        <v>71.540613173915418</v>
      </c>
      <c r="J133" s="19">
        <f t="shared" ref="J133:J196" si="11">IF(D133&gt;0,(C133-D133)/D133*100,"")</f>
        <v>39.780742103649189</v>
      </c>
    </row>
    <row r="134" spans="1:10" ht="15.75" customHeight="1" x14ac:dyDescent="0.25">
      <c r="A134" s="6" t="s">
        <v>53</v>
      </c>
      <c r="B134" s="10">
        <v>2031</v>
      </c>
      <c r="C134" s="12">
        <v>197413</v>
      </c>
      <c r="D134" s="12">
        <v>137635</v>
      </c>
      <c r="E134" s="11">
        <f>Tasas_Informalidad_Proy!$G$20</f>
        <v>72.918800000000005</v>
      </c>
      <c r="F134" s="12">
        <f t="shared" si="8"/>
        <v>100361.79038000001</v>
      </c>
      <c r="G134" s="12">
        <f t="shared" si="9"/>
        <v>37273.209619999994</v>
      </c>
      <c r="H134" s="16">
        <f>E134-'Historico_GEIH_2007-2026'!$M$20</f>
        <v>-2.5811999999999955</v>
      </c>
      <c r="I134" s="17">
        <f t="shared" si="10"/>
        <v>69.719319396392336</v>
      </c>
      <c r="J134" s="17">
        <f t="shared" si="11"/>
        <v>43.432266501979875</v>
      </c>
    </row>
    <row r="135" spans="1:10" ht="15.75" customHeight="1" x14ac:dyDescent="0.25">
      <c r="A135" s="8" t="s">
        <v>54</v>
      </c>
      <c r="B135" s="13">
        <v>2031</v>
      </c>
      <c r="C135" s="15">
        <v>368829</v>
      </c>
      <c r="D135" s="15">
        <v>258833</v>
      </c>
      <c r="E135" s="14">
        <f>Tasas_Informalidad_Proy!$G$21</f>
        <v>66.506</v>
      </c>
      <c r="F135" s="15">
        <f t="shared" si="8"/>
        <v>172139.47498</v>
      </c>
      <c r="G135" s="15">
        <f t="shared" si="9"/>
        <v>86693.525020000001</v>
      </c>
      <c r="H135" s="18">
        <f>E135-'Historico_GEIH_2007-2026'!$M$21</f>
        <v>-2.4939999999999998</v>
      </c>
      <c r="I135" s="19">
        <f t="shared" si="10"/>
        <v>70.176965477226574</v>
      </c>
      <c r="J135" s="19">
        <f t="shared" si="11"/>
        <v>42.496899545266636</v>
      </c>
    </row>
    <row r="136" spans="1:10" ht="15.75" customHeight="1" x14ac:dyDescent="0.25">
      <c r="A136" s="6" t="s">
        <v>55</v>
      </c>
      <c r="B136" s="10">
        <v>2031</v>
      </c>
      <c r="C136" s="12">
        <v>691674</v>
      </c>
      <c r="D136" s="12">
        <v>475541</v>
      </c>
      <c r="E136" s="11">
        <f>Tasas_Informalidad_Proy!$G$22</f>
        <v>65.008099999999999</v>
      </c>
      <c r="F136" s="12">
        <f t="shared" si="8"/>
        <v>309140.16882100003</v>
      </c>
      <c r="G136" s="12">
        <f t="shared" si="9"/>
        <v>166400.831179</v>
      </c>
      <c r="H136" s="16">
        <f>E136-'Historico_GEIH_2007-2026'!$M$22</f>
        <v>-2.5918999999999954</v>
      </c>
      <c r="I136" s="17">
        <f t="shared" si="10"/>
        <v>68.752186723803405</v>
      </c>
      <c r="J136" s="17">
        <f t="shared" si="11"/>
        <v>45.449919144721484</v>
      </c>
    </row>
    <row r="137" spans="1:10" ht="15.75" customHeight="1" x14ac:dyDescent="0.25">
      <c r="A137" s="8" t="s">
        <v>56</v>
      </c>
      <c r="B137" s="13">
        <v>2031</v>
      </c>
      <c r="C137" s="15">
        <v>150090</v>
      </c>
      <c r="D137" s="15">
        <v>102469</v>
      </c>
      <c r="E137" s="14">
        <f>Tasas_Informalidad_Proy!$G$23</f>
        <v>75.934200000000004</v>
      </c>
      <c r="F137" s="15">
        <f t="shared" si="8"/>
        <v>77809.015398000003</v>
      </c>
      <c r="G137" s="15">
        <f t="shared" si="9"/>
        <v>24659.984601999993</v>
      </c>
      <c r="H137" s="18">
        <f>E137-'Historico_GEIH_2007-2026'!$M$23</f>
        <v>-2.5657999999999959</v>
      </c>
      <c r="I137" s="19">
        <f t="shared" si="10"/>
        <v>68.27170364447997</v>
      </c>
      <c r="J137" s="19">
        <f t="shared" si="11"/>
        <v>46.47356761557154</v>
      </c>
    </row>
    <row r="138" spans="1:10" ht="15.75" customHeight="1" x14ac:dyDescent="0.25">
      <c r="A138" s="6" t="s">
        <v>57</v>
      </c>
      <c r="B138" s="10">
        <v>2031</v>
      </c>
      <c r="C138" s="12">
        <v>434245</v>
      </c>
      <c r="D138" s="12">
        <v>297035</v>
      </c>
      <c r="E138" s="11">
        <f>Tasas_Informalidad_Proy!$G$24</f>
        <v>62.432499999999997</v>
      </c>
      <c r="F138" s="12">
        <f t="shared" si="8"/>
        <v>185446.37637499999</v>
      </c>
      <c r="G138" s="12">
        <f t="shared" si="9"/>
        <v>111588.62362499999</v>
      </c>
      <c r="H138" s="16">
        <f>E138-'Historico_GEIH_2007-2026'!$M$24</f>
        <v>-2.5675000000000026</v>
      </c>
      <c r="I138" s="17">
        <f t="shared" si="10"/>
        <v>68.402629851811767</v>
      </c>
      <c r="J138" s="17">
        <f t="shared" si="11"/>
        <v>46.193209554429615</v>
      </c>
    </row>
    <row r="139" spans="1:10" ht="15.75" customHeight="1" x14ac:dyDescent="0.25">
      <c r="A139" s="8" t="s">
        <v>58</v>
      </c>
      <c r="B139" s="13">
        <v>2031</v>
      </c>
      <c r="C139" s="15">
        <v>214308</v>
      </c>
      <c r="D139" s="15">
        <v>144165</v>
      </c>
      <c r="E139" s="14">
        <f>Tasas_Informalidad_Proy!$G$25</f>
        <v>70.696299999999994</v>
      </c>
      <c r="F139" s="15">
        <f t="shared" si="8"/>
        <v>101919.32089499998</v>
      </c>
      <c r="G139" s="15">
        <f t="shared" si="9"/>
        <v>42245.679105000017</v>
      </c>
      <c r="H139" s="18">
        <f>E139-'Historico_GEIH_2007-2026'!$M$25</f>
        <v>-2.6037000000000035</v>
      </c>
      <c r="I139" s="19">
        <f t="shared" si="10"/>
        <v>67.270003919592355</v>
      </c>
      <c r="J139" s="19">
        <f t="shared" si="11"/>
        <v>48.65466652793674</v>
      </c>
    </row>
    <row r="140" spans="1:10" ht="15.75" customHeight="1" x14ac:dyDescent="0.25">
      <c r="A140" s="6" t="s">
        <v>59</v>
      </c>
      <c r="B140" s="10">
        <v>2031</v>
      </c>
      <c r="C140" s="12">
        <v>613835</v>
      </c>
      <c r="D140" s="12">
        <v>428906</v>
      </c>
      <c r="E140" s="11">
        <f>Tasas_Informalidad_Proy!$G$26</f>
        <v>56.120199999999997</v>
      </c>
      <c r="F140" s="12">
        <f t="shared" si="8"/>
        <v>240702.90501199997</v>
      </c>
      <c r="G140" s="12">
        <f t="shared" si="9"/>
        <v>188203.094988</v>
      </c>
      <c r="H140" s="16">
        <f>E140-'Historico_GEIH_2007-2026'!$M$26</f>
        <v>-2.5798000000000059</v>
      </c>
      <c r="I140" s="17">
        <f t="shared" si="10"/>
        <v>69.873174387253897</v>
      </c>
      <c r="J140" s="17">
        <f t="shared" si="11"/>
        <v>43.116440432169284</v>
      </c>
    </row>
    <row r="141" spans="1:10" ht="15.75" customHeight="1" x14ac:dyDescent="0.25">
      <c r="A141" s="8" t="s">
        <v>60</v>
      </c>
      <c r="B141" s="13">
        <v>2031</v>
      </c>
      <c r="C141" s="15">
        <v>307534</v>
      </c>
      <c r="D141" s="15">
        <v>206630</v>
      </c>
      <c r="E141" s="14">
        <f>Tasas_Informalidad_Proy!$G$27</f>
        <v>52.311199999999999</v>
      </c>
      <c r="F141" s="15">
        <f t="shared" si="8"/>
        <v>108090.63256</v>
      </c>
      <c r="G141" s="15">
        <f t="shared" si="9"/>
        <v>98539.367440000002</v>
      </c>
      <c r="H141" s="18">
        <f>E141-'Historico_GEIH_2007-2026'!$M$27</f>
        <v>-2.6888000000000005</v>
      </c>
      <c r="I141" s="19">
        <f t="shared" si="10"/>
        <v>67.189318904576396</v>
      </c>
      <c r="J141" s="19">
        <f t="shared" si="11"/>
        <v>48.833180080336838</v>
      </c>
    </row>
    <row r="142" spans="1:10" ht="15.75" customHeight="1" x14ac:dyDescent="0.25">
      <c r="A142" s="6" t="s">
        <v>61</v>
      </c>
      <c r="B142" s="10">
        <v>2031</v>
      </c>
      <c r="C142" s="12">
        <v>355374</v>
      </c>
      <c r="D142" s="12">
        <v>241942</v>
      </c>
      <c r="E142" s="11">
        <f>Tasas_Informalidad_Proy!$G$28</f>
        <v>65.671599999999998</v>
      </c>
      <c r="F142" s="12">
        <f t="shared" si="8"/>
        <v>158887.18247199999</v>
      </c>
      <c r="G142" s="12">
        <f t="shared" si="9"/>
        <v>83054.817528000014</v>
      </c>
      <c r="H142" s="16">
        <f>E142-'Historico_GEIH_2007-2026'!$M$28</f>
        <v>-2.6283999999999992</v>
      </c>
      <c r="I142" s="17">
        <f t="shared" si="10"/>
        <v>68.080951335775836</v>
      </c>
      <c r="J142" s="17">
        <f t="shared" si="11"/>
        <v>46.883963925238284</v>
      </c>
    </row>
    <row r="143" spans="1:10" ht="15.75" customHeight="1" x14ac:dyDescent="0.25">
      <c r="A143" s="6" t="s">
        <v>39</v>
      </c>
      <c r="B143" s="10">
        <v>2032</v>
      </c>
      <c r="C143" s="12">
        <v>7883923</v>
      </c>
      <c r="D143" s="12">
        <v>5616454</v>
      </c>
      <c r="E143" s="11">
        <f>Tasas_Informalidad_Proy!$H$6</f>
        <v>39.498199999999997</v>
      </c>
      <c r="F143" s="12">
        <f t="shared" si="8"/>
        <v>2218398.2338279998</v>
      </c>
      <c r="G143" s="12">
        <f t="shared" si="9"/>
        <v>3398055.7661720002</v>
      </c>
      <c r="H143" s="16">
        <f>E143-'Historico_GEIH_2007-2026'!$M$6</f>
        <v>-3.1018000000000043</v>
      </c>
      <c r="I143" s="17">
        <f t="shared" si="10"/>
        <v>71.239330977737865</v>
      </c>
      <c r="J143" s="17">
        <f t="shared" si="11"/>
        <v>40.37189657388808</v>
      </c>
    </row>
    <row r="144" spans="1:10" ht="15.75" customHeight="1" x14ac:dyDescent="0.25">
      <c r="A144" s="8" t="s">
        <v>40</v>
      </c>
      <c r="B144" s="13">
        <v>2032</v>
      </c>
      <c r="C144" s="15">
        <v>2497704</v>
      </c>
      <c r="D144" s="15">
        <v>1727267</v>
      </c>
      <c r="E144" s="14">
        <f>Tasas_Informalidad_Proy!$H$7</f>
        <v>39.273200000000003</v>
      </c>
      <c r="F144" s="15">
        <f t="shared" si="8"/>
        <v>678353.02344400005</v>
      </c>
      <c r="G144" s="15">
        <f t="shared" si="9"/>
        <v>1048913.9765559998</v>
      </c>
      <c r="H144" s="18">
        <f>E144-'Historico_GEIH_2007-2026'!$M$7</f>
        <v>-3.9268000000000001</v>
      </c>
      <c r="I144" s="19">
        <f t="shared" si="10"/>
        <v>69.154191209206544</v>
      </c>
      <c r="J144" s="19">
        <f t="shared" si="11"/>
        <v>44.604395267205362</v>
      </c>
    </row>
    <row r="145" spans="1:10" ht="15.75" customHeight="1" x14ac:dyDescent="0.25">
      <c r="A145" s="6" t="s">
        <v>41</v>
      </c>
      <c r="B145" s="10">
        <v>2032</v>
      </c>
      <c r="C145" s="12">
        <v>2212511</v>
      </c>
      <c r="D145" s="12">
        <v>1520244</v>
      </c>
      <c r="E145" s="11">
        <f>Tasas_Informalidad_Proy!$H$8</f>
        <v>46.572400000000002</v>
      </c>
      <c r="F145" s="12">
        <f t="shared" si="8"/>
        <v>708014.11665600003</v>
      </c>
      <c r="G145" s="12">
        <f t="shared" si="9"/>
        <v>812229.88334399997</v>
      </c>
      <c r="H145" s="16">
        <f>E145-'Historico_GEIH_2007-2026'!$M$8</f>
        <v>-3.7275999999999954</v>
      </c>
      <c r="I145" s="17">
        <f t="shared" si="10"/>
        <v>68.711251605076768</v>
      </c>
      <c r="J145" s="17">
        <f t="shared" si="11"/>
        <v>45.536571760848915</v>
      </c>
    </row>
    <row r="146" spans="1:10" ht="15.75" customHeight="1" x14ac:dyDescent="0.25">
      <c r="A146" s="8" t="s">
        <v>42</v>
      </c>
      <c r="B146" s="13">
        <v>2032</v>
      </c>
      <c r="C146" s="15">
        <v>1241174</v>
      </c>
      <c r="D146" s="15">
        <v>843900</v>
      </c>
      <c r="E146" s="14">
        <f>Tasas_Informalidad_Proy!$H$9</f>
        <v>53.236699999999999</v>
      </c>
      <c r="F146" s="15">
        <f t="shared" si="8"/>
        <v>449264.51130000001</v>
      </c>
      <c r="G146" s="15">
        <f t="shared" si="9"/>
        <v>394635.48869999999</v>
      </c>
      <c r="H146" s="18">
        <f>E146-'Historico_GEIH_2007-2026'!$M$9</f>
        <v>-2.9633000000000038</v>
      </c>
      <c r="I146" s="19">
        <f t="shared" si="10"/>
        <v>67.992078467644347</v>
      </c>
      <c r="J146" s="19">
        <f t="shared" si="11"/>
        <v>47.075956866927356</v>
      </c>
    </row>
    <row r="147" spans="1:10" ht="15.75" customHeight="1" x14ac:dyDescent="0.25">
      <c r="A147" s="6" t="s">
        <v>43</v>
      </c>
      <c r="B147" s="10">
        <v>2032</v>
      </c>
      <c r="C147" s="12">
        <v>619652</v>
      </c>
      <c r="D147" s="12">
        <v>422117</v>
      </c>
      <c r="E147" s="11">
        <f>Tasas_Informalidad_Proy!$H$10</f>
        <v>58.636400000000002</v>
      </c>
      <c r="F147" s="12">
        <f t="shared" si="8"/>
        <v>247514.21258799999</v>
      </c>
      <c r="G147" s="12">
        <f t="shared" si="9"/>
        <v>174602.78741200001</v>
      </c>
      <c r="H147" s="16">
        <f>E147-'Historico_GEIH_2007-2026'!$M$10</f>
        <v>-3.7635999999999967</v>
      </c>
      <c r="I147" s="17">
        <f t="shared" si="10"/>
        <v>68.121623104581289</v>
      </c>
      <c r="J147" s="17">
        <f t="shared" si="11"/>
        <v>46.796267385582667</v>
      </c>
    </row>
    <row r="148" spans="1:10" ht="15.75" customHeight="1" x14ac:dyDescent="0.25">
      <c r="A148" s="8" t="s">
        <v>44</v>
      </c>
      <c r="B148" s="13">
        <v>2032</v>
      </c>
      <c r="C148" s="15">
        <v>493706</v>
      </c>
      <c r="D148" s="15">
        <v>337164</v>
      </c>
      <c r="E148" s="14">
        <f>Tasas_Informalidad_Proy!$H$11</f>
        <v>46.424700000000001</v>
      </c>
      <c r="F148" s="15">
        <f t="shared" si="8"/>
        <v>156527.37550800003</v>
      </c>
      <c r="G148" s="15">
        <f t="shared" si="9"/>
        <v>180636.62449199997</v>
      </c>
      <c r="H148" s="18">
        <f>E148-'Historico_GEIH_2007-2026'!$M$11</f>
        <v>-3.4752999999999972</v>
      </c>
      <c r="I148" s="19">
        <f t="shared" si="10"/>
        <v>68.292465556424261</v>
      </c>
      <c r="J148" s="19">
        <f t="shared" si="11"/>
        <v>46.429037501038074</v>
      </c>
    </row>
    <row r="149" spans="1:10" ht="15.75" customHeight="1" x14ac:dyDescent="0.25">
      <c r="A149" s="6" t="s">
        <v>45</v>
      </c>
      <c r="B149" s="10">
        <v>2032</v>
      </c>
      <c r="C149" s="12">
        <v>405873</v>
      </c>
      <c r="D149" s="12">
        <v>291217</v>
      </c>
      <c r="E149" s="11">
        <f>Tasas_Informalidad_Proy!$H$12</f>
        <v>66.137600000000006</v>
      </c>
      <c r="F149" s="12">
        <f t="shared" si="8"/>
        <v>192603.93459200003</v>
      </c>
      <c r="G149" s="12">
        <f t="shared" si="9"/>
        <v>98613.06540799998</v>
      </c>
      <c r="H149" s="16">
        <f>E149-'Historico_GEIH_2007-2026'!$M$12</f>
        <v>-2.7623999999999995</v>
      </c>
      <c r="I149" s="17">
        <f t="shared" si="10"/>
        <v>71.750769329322225</v>
      </c>
      <c r="J149" s="17">
        <f t="shared" si="11"/>
        <v>39.371327910115141</v>
      </c>
    </row>
    <row r="150" spans="1:10" ht="15.75" customHeight="1" x14ac:dyDescent="0.25">
      <c r="A150" s="8" t="s">
        <v>46</v>
      </c>
      <c r="B150" s="13">
        <v>2032</v>
      </c>
      <c r="C150" s="15">
        <v>486079</v>
      </c>
      <c r="D150" s="15">
        <v>327820</v>
      </c>
      <c r="E150" s="14">
        <f>Tasas_Informalidad_Proy!$H$13</f>
        <v>54.455300000000001</v>
      </c>
      <c r="F150" s="15">
        <f t="shared" si="8"/>
        <v>178515.36445999998</v>
      </c>
      <c r="G150" s="15">
        <f t="shared" si="9"/>
        <v>149304.63553999999</v>
      </c>
      <c r="H150" s="18">
        <f>E150-'Historico_GEIH_2007-2026'!$M$13</f>
        <v>-3.0446999999999989</v>
      </c>
      <c r="I150" s="19">
        <f t="shared" si="10"/>
        <v>67.441712149671133</v>
      </c>
      <c r="J150" s="19">
        <f t="shared" si="11"/>
        <v>48.276188152034656</v>
      </c>
    </row>
    <row r="151" spans="1:10" ht="15.75" customHeight="1" x14ac:dyDescent="0.25">
      <c r="A151" s="6" t="s">
        <v>47</v>
      </c>
      <c r="B151" s="10">
        <v>2032</v>
      </c>
      <c r="C151" s="12">
        <v>779061</v>
      </c>
      <c r="D151" s="12">
        <v>545795</v>
      </c>
      <c r="E151" s="11">
        <f>Tasas_Informalidad_Proy!$H$14</f>
        <v>66.721999999999994</v>
      </c>
      <c r="F151" s="12">
        <f t="shared" si="8"/>
        <v>364165.33989999996</v>
      </c>
      <c r="G151" s="12">
        <f t="shared" si="9"/>
        <v>181629.66010000004</v>
      </c>
      <c r="H151" s="16">
        <f>E151-'Historico_GEIH_2007-2026'!$M$14</f>
        <v>-3.578000000000003</v>
      </c>
      <c r="I151" s="17">
        <f t="shared" si="10"/>
        <v>70.058057071269133</v>
      </c>
      <c r="J151" s="17">
        <f t="shared" si="11"/>
        <v>42.738757225698293</v>
      </c>
    </row>
    <row r="152" spans="1:10" ht="15.75" customHeight="1" x14ac:dyDescent="0.25">
      <c r="A152" s="8" t="s">
        <v>48</v>
      </c>
      <c r="B152" s="13">
        <v>2032</v>
      </c>
      <c r="C152" s="15">
        <v>568264</v>
      </c>
      <c r="D152" s="15">
        <v>384930</v>
      </c>
      <c r="E152" s="14">
        <f>Tasas_Informalidad_Proy!$H$15</f>
        <v>57.889800000000001</v>
      </c>
      <c r="F152" s="15">
        <f t="shared" si="8"/>
        <v>222835.20714000001</v>
      </c>
      <c r="G152" s="15">
        <f t="shared" si="9"/>
        <v>162094.79285999999</v>
      </c>
      <c r="H152" s="18">
        <f>E152-'Historico_GEIH_2007-2026'!$M$15</f>
        <v>-2.610199999999999</v>
      </c>
      <c r="I152" s="19">
        <f t="shared" si="10"/>
        <v>67.737882392690722</v>
      </c>
      <c r="J152" s="19">
        <f t="shared" si="11"/>
        <v>47.627880393837842</v>
      </c>
    </row>
    <row r="153" spans="1:10" ht="15.75" customHeight="1" x14ac:dyDescent="0.25">
      <c r="A153" s="6" t="s">
        <v>49</v>
      </c>
      <c r="B153" s="10">
        <v>2032</v>
      </c>
      <c r="C153" s="12">
        <v>643776</v>
      </c>
      <c r="D153" s="12">
        <v>436671</v>
      </c>
      <c r="E153" s="11">
        <f>Tasas_Informalidad_Proy!$H$16</f>
        <v>71.290899999999993</v>
      </c>
      <c r="F153" s="12">
        <f t="shared" si="8"/>
        <v>311306.68593899999</v>
      </c>
      <c r="G153" s="12">
        <f t="shared" si="9"/>
        <v>125364.31406100004</v>
      </c>
      <c r="H153" s="16">
        <f>E153-'Historico_GEIH_2007-2026'!$M$16</f>
        <v>-3.1091000000000122</v>
      </c>
      <c r="I153" s="17">
        <f t="shared" si="10"/>
        <v>67.829648821950499</v>
      </c>
      <c r="J153" s="17">
        <f t="shared" si="11"/>
        <v>47.42815529311541</v>
      </c>
    </row>
    <row r="154" spans="1:10" ht="15.75" customHeight="1" x14ac:dyDescent="0.25">
      <c r="A154" s="8" t="s">
        <v>50</v>
      </c>
      <c r="B154" s="13">
        <v>2032</v>
      </c>
      <c r="C154" s="15">
        <v>1000974</v>
      </c>
      <c r="D154" s="15">
        <v>670081</v>
      </c>
      <c r="E154" s="14">
        <f>Tasas_Informalidad_Proy!$H$17</f>
        <v>53.233699999999999</v>
      </c>
      <c r="F154" s="15">
        <f t="shared" si="8"/>
        <v>356708.90929700003</v>
      </c>
      <c r="G154" s="15">
        <f t="shared" si="9"/>
        <v>313372.09070300002</v>
      </c>
      <c r="H154" s="18">
        <f>E154-'Historico_GEIH_2007-2026'!$M$17</f>
        <v>-2.8663000000000025</v>
      </c>
      <c r="I154" s="19">
        <f t="shared" si="10"/>
        <v>66.942897617720348</v>
      </c>
      <c r="J154" s="19">
        <f t="shared" si="11"/>
        <v>49.381044978144431</v>
      </c>
    </row>
    <row r="155" spans="1:10" ht="15.75" customHeight="1" x14ac:dyDescent="0.25">
      <c r="A155" s="6" t="s">
        <v>51</v>
      </c>
      <c r="B155" s="10">
        <v>2032</v>
      </c>
      <c r="C155" s="12">
        <v>610189</v>
      </c>
      <c r="D155" s="12">
        <v>427425</v>
      </c>
      <c r="E155" s="11">
        <f>Tasas_Informalidad_Proy!$H$18</f>
        <v>58.394199999999998</v>
      </c>
      <c r="F155" s="12">
        <f t="shared" si="8"/>
        <v>249591.40934999997</v>
      </c>
      <c r="G155" s="12">
        <f t="shared" si="9"/>
        <v>177833.59065000003</v>
      </c>
      <c r="H155" s="16">
        <f>E155-'Historico_GEIH_2007-2026'!$M$18</f>
        <v>-2.9057999999999993</v>
      </c>
      <c r="I155" s="17">
        <f t="shared" si="10"/>
        <v>70.047968744110435</v>
      </c>
      <c r="J155" s="17">
        <f t="shared" si="11"/>
        <v>42.759314499619819</v>
      </c>
    </row>
    <row r="156" spans="1:10" ht="15.75" customHeight="1" x14ac:dyDescent="0.25">
      <c r="A156" s="8" t="s">
        <v>52</v>
      </c>
      <c r="B156" s="13">
        <v>2032</v>
      </c>
      <c r="C156" s="15">
        <v>202588</v>
      </c>
      <c r="D156" s="15">
        <v>144979</v>
      </c>
      <c r="E156" s="14">
        <f>Tasas_Informalidad_Proy!$H$19</f>
        <v>58.338000000000001</v>
      </c>
      <c r="F156" s="15">
        <f t="shared" si="8"/>
        <v>84577.849020000009</v>
      </c>
      <c r="G156" s="15">
        <f t="shared" si="9"/>
        <v>60401.150979999999</v>
      </c>
      <c r="H156" s="18">
        <f>E156-'Historico_GEIH_2007-2026'!$M$19</f>
        <v>-2.8620000000000019</v>
      </c>
      <c r="I156" s="19">
        <f t="shared" si="10"/>
        <v>71.563468714830108</v>
      </c>
      <c r="J156" s="19">
        <f t="shared" si="11"/>
        <v>39.736099710992626</v>
      </c>
    </row>
    <row r="157" spans="1:10" ht="15.75" customHeight="1" x14ac:dyDescent="0.25">
      <c r="A157" s="6" t="s">
        <v>53</v>
      </c>
      <c r="B157" s="10">
        <v>2032</v>
      </c>
      <c r="C157" s="12">
        <v>198806</v>
      </c>
      <c r="D157" s="12">
        <v>138938</v>
      </c>
      <c r="E157" s="11">
        <f>Tasas_Informalidad_Proy!$H$20</f>
        <v>72.595699999999994</v>
      </c>
      <c r="F157" s="12">
        <f t="shared" si="8"/>
        <v>100863.013666</v>
      </c>
      <c r="G157" s="12">
        <f t="shared" si="9"/>
        <v>38074.986334000008</v>
      </c>
      <c r="H157" s="16">
        <f>E157-'Historico_GEIH_2007-2026'!$M$20</f>
        <v>-2.9043000000000063</v>
      </c>
      <c r="I157" s="17">
        <f t="shared" si="10"/>
        <v>69.886220737804692</v>
      </c>
      <c r="J157" s="17">
        <f t="shared" si="11"/>
        <v>43.089723473779671</v>
      </c>
    </row>
    <row r="158" spans="1:10" ht="15.75" customHeight="1" x14ac:dyDescent="0.25">
      <c r="A158" s="8" t="s">
        <v>54</v>
      </c>
      <c r="B158" s="13">
        <v>2032</v>
      </c>
      <c r="C158" s="15">
        <v>371081</v>
      </c>
      <c r="D158" s="15">
        <v>260517</v>
      </c>
      <c r="E158" s="14">
        <f>Tasas_Informalidad_Proy!$H$21</f>
        <v>66.195400000000006</v>
      </c>
      <c r="F158" s="15">
        <f t="shared" si="8"/>
        <v>172450.27021799999</v>
      </c>
      <c r="G158" s="15">
        <f t="shared" si="9"/>
        <v>88066.729781999995</v>
      </c>
      <c r="H158" s="18">
        <f>E158-'Historico_GEIH_2007-2026'!$M$21</f>
        <v>-2.8045999999999935</v>
      </c>
      <c r="I158" s="19">
        <f t="shared" si="10"/>
        <v>70.204887881621531</v>
      </c>
      <c r="J158" s="19">
        <f t="shared" si="11"/>
        <v>42.440224630254455</v>
      </c>
    </row>
    <row r="159" spans="1:10" ht="15.75" customHeight="1" x14ac:dyDescent="0.25">
      <c r="A159" s="6" t="s">
        <v>55</v>
      </c>
      <c r="B159" s="10">
        <v>2032</v>
      </c>
      <c r="C159" s="12">
        <v>703618</v>
      </c>
      <c r="D159" s="12">
        <v>486208</v>
      </c>
      <c r="E159" s="11">
        <f>Tasas_Informalidad_Proy!$H$22</f>
        <v>64.690799999999996</v>
      </c>
      <c r="F159" s="12">
        <f t="shared" si="8"/>
        <v>314531.84486399998</v>
      </c>
      <c r="G159" s="12">
        <f t="shared" si="9"/>
        <v>171676.15513600004</v>
      </c>
      <c r="H159" s="16">
        <f>E159-'Historico_GEIH_2007-2026'!$M$22</f>
        <v>-2.9091999999999985</v>
      </c>
      <c r="I159" s="17">
        <f t="shared" si="10"/>
        <v>69.10113157991978</v>
      </c>
      <c r="J159" s="17">
        <f t="shared" si="11"/>
        <v>44.715430433065684</v>
      </c>
    </row>
    <row r="160" spans="1:10" ht="15.75" customHeight="1" x14ac:dyDescent="0.25">
      <c r="A160" s="8" t="s">
        <v>56</v>
      </c>
      <c r="B160" s="13">
        <v>2032</v>
      </c>
      <c r="C160" s="15">
        <v>151189</v>
      </c>
      <c r="D160" s="15">
        <v>103648</v>
      </c>
      <c r="E160" s="14">
        <f>Tasas_Informalidad_Proy!$H$23</f>
        <v>75.611199999999997</v>
      </c>
      <c r="F160" s="15">
        <f t="shared" si="8"/>
        <v>78369.49657599999</v>
      </c>
      <c r="G160" s="15">
        <f t="shared" si="9"/>
        <v>25278.503423999999</v>
      </c>
      <c r="H160" s="18">
        <f>E160-'Historico_GEIH_2007-2026'!$M$23</f>
        <v>-2.8888000000000034</v>
      </c>
      <c r="I160" s="19">
        <f t="shared" si="10"/>
        <v>68.555252035531694</v>
      </c>
      <c r="J160" s="19">
        <f t="shared" si="11"/>
        <v>45.867744674282186</v>
      </c>
    </row>
    <row r="161" spans="1:10" ht="15.75" customHeight="1" x14ac:dyDescent="0.25">
      <c r="A161" s="6" t="s">
        <v>57</v>
      </c>
      <c r="B161" s="10">
        <v>2032</v>
      </c>
      <c r="C161" s="12">
        <v>438854</v>
      </c>
      <c r="D161" s="12">
        <v>300899</v>
      </c>
      <c r="E161" s="11">
        <f>Tasas_Informalidad_Proy!$H$24</f>
        <v>62.120800000000003</v>
      </c>
      <c r="F161" s="12">
        <f t="shared" si="8"/>
        <v>186920.86599199998</v>
      </c>
      <c r="G161" s="12">
        <f t="shared" si="9"/>
        <v>113978.13400800001</v>
      </c>
      <c r="H161" s="16">
        <f>E161-'Historico_GEIH_2007-2026'!$M$24</f>
        <v>-2.8791999999999973</v>
      </c>
      <c r="I161" s="17">
        <f t="shared" si="10"/>
        <v>68.564716283775468</v>
      </c>
      <c r="J161" s="17">
        <f t="shared" si="11"/>
        <v>45.847609995380509</v>
      </c>
    </row>
    <row r="162" spans="1:10" ht="15.75" customHeight="1" x14ac:dyDescent="0.25">
      <c r="A162" s="8" t="s">
        <v>58</v>
      </c>
      <c r="B162" s="13">
        <v>2032</v>
      </c>
      <c r="C162" s="15">
        <v>214470</v>
      </c>
      <c r="D162" s="15">
        <v>145182</v>
      </c>
      <c r="E162" s="14">
        <f>Tasas_Informalidad_Proy!$H$25</f>
        <v>70.377200000000002</v>
      </c>
      <c r="F162" s="15">
        <f t="shared" si="8"/>
        <v>102175.02650399999</v>
      </c>
      <c r="G162" s="15">
        <f t="shared" si="9"/>
        <v>43006.973495999991</v>
      </c>
      <c r="H162" s="18">
        <f>E162-'Historico_GEIH_2007-2026'!$M$25</f>
        <v>-2.9227999999999952</v>
      </c>
      <c r="I162" s="19">
        <f t="shared" si="10"/>
        <v>67.693383690026579</v>
      </c>
      <c r="J162" s="19">
        <f t="shared" si="11"/>
        <v>47.724924577426954</v>
      </c>
    </row>
    <row r="163" spans="1:10" ht="15.75" customHeight="1" x14ac:dyDescent="0.25">
      <c r="A163" s="6" t="s">
        <v>59</v>
      </c>
      <c r="B163" s="10">
        <v>2032</v>
      </c>
      <c r="C163" s="12">
        <v>617895</v>
      </c>
      <c r="D163" s="12">
        <v>433610</v>
      </c>
      <c r="E163" s="11">
        <f>Tasas_Informalidad_Proy!$H$26</f>
        <v>55.809100000000001</v>
      </c>
      <c r="F163" s="12">
        <f t="shared" si="8"/>
        <v>241993.83851</v>
      </c>
      <c r="G163" s="12">
        <f t="shared" si="9"/>
        <v>191616.16149</v>
      </c>
      <c r="H163" s="16">
        <f>E163-'Historico_GEIH_2007-2026'!$M$26</f>
        <v>-2.890900000000002</v>
      </c>
      <c r="I163" s="17">
        <f t="shared" si="10"/>
        <v>70.175353417651863</v>
      </c>
      <c r="J163" s="17">
        <f t="shared" si="11"/>
        <v>42.500172966490624</v>
      </c>
    </row>
    <row r="164" spans="1:10" ht="15.75" customHeight="1" x14ac:dyDescent="0.25">
      <c r="A164" s="8" t="s">
        <v>60</v>
      </c>
      <c r="B164" s="13">
        <v>2032</v>
      </c>
      <c r="C164" s="15">
        <v>307267</v>
      </c>
      <c r="D164" s="15">
        <v>206105</v>
      </c>
      <c r="E164" s="14">
        <f>Tasas_Informalidad_Proy!$H$27</f>
        <v>51.997599999999998</v>
      </c>
      <c r="F164" s="15">
        <f t="shared" si="8"/>
        <v>107169.65347999999</v>
      </c>
      <c r="G164" s="15">
        <f t="shared" si="9"/>
        <v>98935.346520000006</v>
      </c>
      <c r="H164" s="18">
        <f>E164-'Historico_GEIH_2007-2026'!$M$27</f>
        <v>-3.0024000000000015</v>
      </c>
      <c r="I164" s="19">
        <f t="shared" si="10"/>
        <v>67.076841964805851</v>
      </c>
      <c r="J164" s="19">
        <f t="shared" si="11"/>
        <v>49.08274908420465</v>
      </c>
    </row>
    <row r="165" spans="1:10" ht="15.75" customHeight="1" x14ac:dyDescent="0.25">
      <c r="A165" s="6" t="s">
        <v>61</v>
      </c>
      <c r="B165" s="10">
        <v>2032</v>
      </c>
      <c r="C165" s="12">
        <v>359731</v>
      </c>
      <c r="D165" s="12">
        <v>245635</v>
      </c>
      <c r="E165" s="11">
        <f>Tasas_Informalidad_Proy!$H$28</f>
        <v>65.352500000000006</v>
      </c>
      <c r="F165" s="12">
        <f t="shared" si="8"/>
        <v>160528.61337500002</v>
      </c>
      <c r="G165" s="12">
        <f t="shared" si="9"/>
        <v>85106.386624999999</v>
      </c>
      <c r="H165" s="16">
        <f>E165-'Historico_GEIH_2007-2026'!$M$28</f>
        <v>-2.9474999999999909</v>
      </c>
      <c r="I165" s="17">
        <f t="shared" si="10"/>
        <v>68.282966994782214</v>
      </c>
      <c r="J165" s="17">
        <f t="shared" si="11"/>
        <v>46.44940663993323</v>
      </c>
    </row>
    <row r="166" spans="1:10" ht="15.75" customHeight="1" x14ac:dyDescent="0.25">
      <c r="A166" s="6" t="s">
        <v>39</v>
      </c>
      <c r="B166" s="10">
        <v>2033</v>
      </c>
      <c r="C166" s="12">
        <v>7863483</v>
      </c>
      <c r="D166" s="12">
        <v>5594085</v>
      </c>
      <c r="E166" s="11">
        <f>Tasas_Informalidad_Proy!$I$6</f>
        <v>39.190800000000003</v>
      </c>
      <c r="F166" s="12">
        <f t="shared" si="8"/>
        <v>2192366.6641800003</v>
      </c>
      <c r="G166" s="12">
        <f t="shared" si="9"/>
        <v>3401718.3358199997</v>
      </c>
      <c r="H166" s="16">
        <f>E166-'Historico_GEIH_2007-2026'!$M$6</f>
        <v>-3.4091999999999985</v>
      </c>
      <c r="I166" s="17">
        <f t="shared" si="10"/>
        <v>71.140040615589811</v>
      </c>
      <c r="J166" s="17">
        <f t="shared" si="11"/>
        <v>40.567814039293289</v>
      </c>
    </row>
    <row r="167" spans="1:10" ht="15.75" customHeight="1" x14ac:dyDescent="0.25">
      <c r="A167" s="8" t="s">
        <v>40</v>
      </c>
      <c r="B167" s="13">
        <v>2033</v>
      </c>
      <c r="C167" s="15">
        <v>2490104</v>
      </c>
      <c r="D167" s="15">
        <v>1718234</v>
      </c>
      <c r="E167" s="14">
        <f>Tasas_Informalidad_Proy!$I$7</f>
        <v>38.887099999999997</v>
      </c>
      <c r="F167" s="15">
        <f t="shared" si="8"/>
        <v>668171.37381399993</v>
      </c>
      <c r="G167" s="15">
        <f t="shared" si="9"/>
        <v>1050062.626186</v>
      </c>
      <c r="H167" s="18">
        <f>E167-'Historico_GEIH_2007-2026'!$M$7</f>
        <v>-4.3129000000000062</v>
      </c>
      <c r="I167" s="19">
        <f t="shared" si="10"/>
        <v>69.002499493997036</v>
      </c>
      <c r="J167" s="19">
        <f t="shared" si="11"/>
        <v>44.9222864871723</v>
      </c>
    </row>
    <row r="168" spans="1:10" ht="15.75" customHeight="1" x14ac:dyDescent="0.25">
      <c r="A168" s="6" t="s">
        <v>41</v>
      </c>
      <c r="B168" s="10">
        <v>2033</v>
      </c>
      <c r="C168" s="12">
        <v>2201282</v>
      </c>
      <c r="D168" s="12">
        <v>1509926</v>
      </c>
      <c r="E168" s="11">
        <f>Tasas_Informalidad_Proy!$I$8</f>
        <v>46.209000000000003</v>
      </c>
      <c r="F168" s="12">
        <f t="shared" si="8"/>
        <v>697721.7053400001</v>
      </c>
      <c r="G168" s="12">
        <f t="shared" si="9"/>
        <v>812204.29465999978</v>
      </c>
      <c r="H168" s="16">
        <f>E168-'Historico_GEIH_2007-2026'!$M$8</f>
        <v>-4.090999999999994</v>
      </c>
      <c r="I168" s="17">
        <f t="shared" si="10"/>
        <v>68.593028971299447</v>
      </c>
      <c r="J168" s="17">
        <f t="shared" si="11"/>
        <v>45.787409449204794</v>
      </c>
    </row>
    <row r="169" spans="1:10" ht="15.75" customHeight="1" x14ac:dyDescent="0.25">
      <c r="A169" s="8" t="s">
        <v>42</v>
      </c>
      <c r="B169" s="13">
        <v>2033</v>
      </c>
      <c r="C169" s="15">
        <v>1233976</v>
      </c>
      <c r="D169" s="15">
        <v>839924</v>
      </c>
      <c r="E169" s="14">
        <f>Tasas_Informalidad_Proy!$I$9</f>
        <v>52.919499999999999</v>
      </c>
      <c r="F169" s="15">
        <f t="shared" si="8"/>
        <v>444483.58117999998</v>
      </c>
      <c r="G169" s="15">
        <f t="shared" si="9"/>
        <v>395440.41882000002</v>
      </c>
      <c r="H169" s="18">
        <f>E169-'Historico_GEIH_2007-2026'!$M$9</f>
        <v>-3.2805000000000035</v>
      </c>
      <c r="I169" s="19">
        <f t="shared" si="10"/>
        <v>68.06647779211265</v>
      </c>
      <c r="J169" s="19">
        <f t="shared" si="11"/>
        <v>46.91519708926046</v>
      </c>
    </row>
    <row r="170" spans="1:10" ht="15.75" customHeight="1" x14ac:dyDescent="0.25">
      <c r="A170" s="6" t="s">
        <v>43</v>
      </c>
      <c r="B170" s="10">
        <v>2033</v>
      </c>
      <c r="C170" s="12">
        <v>619357</v>
      </c>
      <c r="D170" s="12">
        <v>421335</v>
      </c>
      <c r="E170" s="11">
        <f>Tasas_Informalidad_Proy!$I$10</f>
        <v>58.246600000000001</v>
      </c>
      <c r="F170" s="12">
        <f t="shared" si="8"/>
        <v>245413.31211</v>
      </c>
      <c r="G170" s="12">
        <f t="shared" si="9"/>
        <v>175921.68788999997</v>
      </c>
      <c r="H170" s="16">
        <f>E170-'Historico_GEIH_2007-2026'!$M$10</f>
        <v>-4.1533999999999978</v>
      </c>
      <c r="I170" s="17">
        <f t="shared" si="10"/>
        <v>68.027809486289812</v>
      </c>
      <c r="J170" s="17">
        <f t="shared" si="11"/>
        <v>46.998706492458496</v>
      </c>
    </row>
    <row r="171" spans="1:10" ht="15.75" customHeight="1" x14ac:dyDescent="0.25">
      <c r="A171" s="8" t="s">
        <v>44</v>
      </c>
      <c r="B171" s="13">
        <v>2033</v>
      </c>
      <c r="C171" s="15">
        <v>496123</v>
      </c>
      <c r="D171" s="15">
        <v>338284</v>
      </c>
      <c r="E171" s="14">
        <f>Tasas_Informalidad_Proy!$I$11</f>
        <v>46.072299999999998</v>
      </c>
      <c r="F171" s="15">
        <f t="shared" si="8"/>
        <v>155855.21933200001</v>
      </c>
      <c r="G171" s="15">
        <f t="shared" si="9"/>
        <v>182428.78066799999</v>
      </c>
      <c r="H171" s="18">
        <f>E171-'Historico_GEIH_2007-2026'!$M$11</f>
        <v>-3.8277000000000001</v>
      </c>
      <c r="I171" s="19">
        <f t="shared" si="10"/>
        <v>68.1855104480139</v>
      </c>
      <c r="J171" s="19">
        <f t="shared" si="11"/>
        <v>46.658724621915312</v>
      </c>
    </row>
    <row r="172" spans="1:10" ht="15.75" customHeight="1" x14ac:dyDescent="0.25">
      <c r="A172" s="6" t="s">
        <v>45</v>
      </c>
      <c r="B172" s="10">
        <v>2033</v>
      </c>
      <c r="C172" s="12">
        <v>405621</v>
      </c>
      <c r="D172" s="12">
        <v>290996</v>
      </c>
      <c r="E172" s="11">
        <f>Tasas_Informalidad_Proy!$I$12</f>
        <v>65.8523</v>
      </c>
      <c r="F172" s="12">
        <f t="shared" si="8"/>
        <v>191627.55890800001</v>
      </c>
      <c r="G172" s="12">
        <f t="shared" si="9"/>
        <v>99368.441092000008</v>
      </c>
      <c r="H172" s="16">
        <f>E172-'Historico_GEIH_2007-2026'!$M$12</f>
        <v>-3.0477000000000061</v>
      </c>
      <c r="I172" s="17">
        <f t="shared" si="10"/>
        <v>71.740861543164684</v>
      </c>
      <c r="J172" s="17">
        <f t="shared" si="11"/>
        <v>39.390575815475124</v>
      </c>
    </row>
    <row r="173" spans="1:10" ht="15.75" customHeight="1" x14ac:dyDescent="0.25">
      <c r="A173" s="8" t="s">
        <v>46</v>
      </c>
      <c r="B173" s="13">
        <v>2033</v>
      </c>
      <c r="C173" s="15">
        <v>485074</v>
      </c>
      <c r="D173" s="15">
        <v>326767</v>
      </c>
      <c r="E173" s="14">
        <f>Tasas_Informalidad_Proy!$I$13</f>
        <v>54.120899999999999</v>
      </c>
      <c r="F173" s="15">
        <f t="shared" si="8"/>
        <v>176849.24130300002</v>
      </c>
      <c r="G173" s="15">
        <f t="shared" si="9"/>
        <v>149917.75869700001</v>
      </c>
      <c r="H173" s="18">
        <f>E173-'Historico_GEIH_2007-2026'!$M$13</f>
        <v>-3.3791000000000011</v>
      </c>
      <c r="I173" s="19">
        <f t="shared" si="10"/>
        <v>67.364360901635621</v>
      </c>
      <c r="J173" s="19">
        <f t="shared" si="11"/>
        <v>48.446446550600278</v>
      </c>
    </row>
    <row r="174" spans="1:10" ht="15.75" customHeight="1" x14ac:dyDescent="0.25">
      <c r="A174" s="6" t="s">
        <v>47</v>
      </c>
      <c r="B174" s="10">
        <v>2033</v>
      </c>
      <c r="C174" s="12">
        <v>776497</v>
      </c>
      <c r="D174" s="12">
        <v>544830</v>
      </c>
      <c r="E174" s="11">
        <f>Tasas_Informalidad_Proy!$I$14</f>
        <v>66.343999999999994</v>
      </c>
      <c r="F174" s="12">
        <f t="shared" si="8"/>
        <v>361462.01519999997</v>
      </c>
      <c r="G174" s="12">
        <f t="shared" si="9"/>
        <v>183367.98480000003</v>
      </c>
      <c r="H174" s="16">
        <f>E174-'Historico_GEIH_2007-2026'!$M$14</f>
        <v>-3.9560000000000031</v>
      </c>
      <c r="I174" s="17">
        <f t="shared" si="10"/>
        <v>70.165113323039236</v>
      </c>
      <c r="J174" s="17">
        <f t="shared" si="11"/>
        <v>42.520969843804494</v>
      </c>
    </row>
    <row r="175" spans="1:10" ht="15.75" customHeight="1" x14ac:dyDescent="0.25">
      <c r="A175" s="8" t="s">
        <v>48</v>
      </c>
      <c r="B175" s="13">
        <v>2033</v>
      </c>
      <c r="C175" s="15">
        <v>569526</v>
      </c>
      <c r="D175" s="15">
        <v>385758</v>
      </c>
      <c r="E175" s="14">
        <f>Tasas_Informalidad_Proy!$I$15</f>
        <v>57.5852</v>
      </c>
      <c r="F175" s="15">
        <f t="shared" si="8"/>
        <v>222139.515816</v>
      </c>
      <c r="G175" s="15">
        <f t="shared" si="9"/>
        <v>163618.484184</v>
      </c>
      <c r="H175" s="18">
        <f>E175-'Historico_GEIH_2007-2026'!$M$15</f>
        <v>-2.9147999999999996</v>
      </c>
      <c r="I175" s="19">
        <f t="shared" si="10"/>
        <v>67.733167581462482</v>
      </c>
      <c r="J175" s="19">
        <f t="shared" si="11"/>
        <v>47.638156564478244</v>
      </c>
    </row>
    <row r="176" spans="1:10" ht="15.75" customHeight="1" x14ac:dyDescent="0.25">
      <c r="A176" s="6" t="s">
        <v>49</v>
      </c>
      <c r="B176" s="10">
        <v>2033</v>
      </c>
      <c r="C176" s="12">
        <v>652884</v>
      </c>
      <c r="D176" s="12">
        <v>443952</v>
      </c>
      <c r="E176" s="11">
        <f>Tasas_Informalidad_Proy!$I$16</f>
        <v>70.956999999999994</v>
      </c>
      <c r="F176" s="12">
        <f t="shared" si="8"/>
        <v>315015.02063999994</v>
      </c>
      <c r="G176" s="12">
        <f t="shared" si="9"/>
        <v>128936.97936000004</v>
      </c>
      <c r="H176" s="16">
        <f>E176-'Historico_GEIH_2007-2026'!$M$16</f>
        <v>-3.4430000000000121</v>
      </c>
      <c r="I176" s="17">
        <f t="shared" si="10"/>
        <v>67.998603120921942</v>
      </c>
      <c r="J176" s="17">
        <f t="shared" si="11"/>
        <v>47.06184452373229</v>
      </c>
    </row>
    <row r="177" spans="1:10" ht="15.75" customHeight="1" x14ac:dyDescent="0.25">
      <c r="A177" s="8" t="s">
        <v>50</v>
      </c>
      <c r="B177" s="13">
        <v>2033</v>
      </c>
      <c r="C177" s="15">
        <v>998638</v>
      </c>
      <c r="D177" s="15">
        <v>669527</v>
      </c>
      <c r="E177" s="14">
        <f>Tasas_Informalidad_Proy!$I$17</f>
        <v>52.928800000000003</v>
      </c>
      <c r="F177" s="15">
        <f t="shared" si="8"/>
        <v>354372.60677600006</v>
      </c>
      <c r="G177" s="15">
        <f t="shared" si="9"/>
        <v>315154.393224</v>
      </c>
      <c r="H177" s="18">
        <f>E177-'Historico_GEIH_2007-2026'!$M$17</f>
        <v>-3.1711999999999989</v>
      </c>
      <c r="I177" s="19">
        <f t="shared" si="10"/>
        <v>67.044013946995804</v>
      </c>
      <c r="J177" s="19">
        <f t="shared" si="11"/>
        <v>49.155747266353714</v>
      </c>
    </row>
    <row r="178" spans="1:10" ht="15.75" customHeight="1" x14ac:dyDescent="0.25">
      <c r="A178" s="6" t="s">
        <v>51</v>
      </c>
      <c r="B178" s="10">
        <v>2033</v>
      </c>
      <c r="C178" s="12">
        <v>613311</v>
      </c>
      <c r="D178" s="12">
        <v>429805</v>
      </c>
      <c r="E178" s="11">
        <f>Tasas_Informalidad_Proy!$I$18</f>
        <v>58.080399999999997</v>
      </c>
      <c r="F178" s="12">
        <f t="shared" si="8"/>
        <v>249632.46322000001</v>
      </c>
      <c r="G178" s="12">
        <f t="shared" si="9"/>
        <v>180172.53677999999</v>
      </c>
      <c r="H178" s="16">
        <f>E178-'Historico_GEIH_2007-2026'!$M$18</f>
        <v>-3.2195999999999998</v>
      </c>
      <c r="I178" s="17">
        <f t="shared" si="10"/>
        <v>70.079453980117762</v>
      </c>
      <c r="J178" s="17">
        <f t="shared" si="11"/>
        <v>42.69517571922151</v>
      </c>
    </row>
    <row r="179" spans="1:10" ht="15.75" customHeight="1" x14ac:dyDescent="0.25">
      <c r="A179" s="8" t="s">
        <v>52</v>
      </c>
      <c r="B179" s="13">
        <v>2033</v>
      </c>
      <c r="C179" s="15">
        <v>204624</v>
      </c>
      <c r="D179" s="15">
        <v>146490</v>
      </c>
      <c r="E179" s="14">
        <f>Tasas_Informalidad_Proy!$I$19</f>
        <v>58.0366</v>
      </c>
      <c r="F179" s="15">
        <f t="shared" si="8"/>
        <v>85017.815340000001</v>
      </c>
      <c r="G179" s="15">
        <f t="shared" si="9"/>
        <v>61472.184659999992</v>
      </c>
      <c r="H179" s="18">
        <f>E179-'Historico_GEIH_2007-2026'!$M$19</f>
        <v>-3.1634000000000029</v>
      </c>
      <c r="I179" s="19">
        <f t="shared" si="10"/>
        <v>71.589842833685196</v>
      </c>
      <c r="J179" s="19">
        <f t="shared" si="11"/>
        <v>39.684620110587751</v>
      </c>
    </row>
    <row r="180" spans="1:10" ht="15.75" customHeight="1" x14ac:dyDescent="0.25">
      <c r="A180" s="6" t="s">
        <v>53</v>
      </c>
      <c r="B180" s="10">
        <v>2033</v>
      </c>
      <c r="C180" s="12">
        <v>200120</v>
      </c>
      <c r="D180" s="12">
        <v>140148</v>
      </c>
      <c r="E180" s="11">
        <f>Tasas_Informalidad_Proy!$I$20</f>
        <v>72.273899999999998</v>
      </c>
      <c r="F180" s="12">
        <f t="shared" si="8"/>
        <v>101290.425372</v>
      </c>
      <c r="G180" s="12">
        <f t="shared" si="9"/>
        <v>38857.574627999995</v>
      </c>
      <c r="H180" s="16">
        <f>E180-'Historico_GEIH_2007-2026'!$M$20</f>
        <v>-3.2261000000000024</v>
      </c>
      <c r="I180" s="17">
        <f t="shared" si="10"/>
        <v>70.031980811513094</v>
      </c>
      <c r="J180" s="17">
        <f t="shared" si="11"/>
        <v>42.791905699688897</v>
      </c>
    </row>
    <row r="181" spans="1:10" ht="15.75" customHeight="1" x14ac:dyDescent="0.25">
      <c r="A181" s="8" t="s">
        <v>54</v>
      </c>
      <c r="B181" s="13">
        <v>2033</v>
      </c>
      <c r="C181" s="15">
        <v>373172</v>
      </c>
      <c r="D181" s="15">
        <v>262104</v>
      </c>
      <c r="E181" s="14">
        <f>Tasas_Informalidad_Proy!$I$21</f>
        <v>65.886200000000002</v>
      </c>
      <c r="F181" s="15">
        <f t="shared" si="8"/>
        <v>172690.36564800001</v>
      </c>
      <c r="G181" s="15">
        <f t="shared" si="9"/>
        <v>89413.634351999979</v>
      </c>
      <c r="H181" s="18">
        <f>E181-'Historico_GEIH_2007-2026'!$M$21</f>
        <v>-3.1137999999999977</v>
      </c>
      <c r="I181" s="19">
        <f t="shared" si="10"/>
        <v>70.236780894600884</v>
      </c>
      <c r="J181" s="19">
        <f t="shared" si="11"/>
        <v>42.375545584958644</v>
      </c>
    </row>
    <row r="182" spans="1:10" ht="15.75" customHeight="1" x14ac:dyDescent="0.25">
      <c r="A182" s="6" t="s">
        <v>55</v>
      </c>
      <c r="B182" s="10">
        <v>2033</v>
      </c>
      <c r="C182" s="12">
        <v>715390</v>
      </c>
      <c r="D182" s="12">
        <v>496834</v>
      </c>
      <c r="E182" s="11">
        <f>Tasas_Informalidad_Proy!$I$22</f>
        <v>64.375100000000003</v>
      </c>
      <c r="F182" s="12">
        <f t="shared" si="8"/>
        <v>319837.384334</v>
      </c>
      <c r="G182" s="12">
        <f t="shared" si="9"/>
        <v>176996.61566599997</v>
      </c>
      <c r="H182" s="16">
        <f>E182-'Historico_GEIH_2007-2026'!$M$22</f>
        <v>-3.224899999999991</v>
      </c>
      <c r="I182" s="17">
        <f t="shared" si="10"/>
        <v>69.4493912411412</v>
      </c>
      <c r="J182" s="17">
        <f t="shared" si="11"/>
        <v>43.989743053011672</v>
      </c>
    </row>
    <row r="183" spans="1:10" ht="15.75" customHeight="1" x14ac:dyDescent="0.25">
      <c r="A183" s="8" t="s">
        <v>56</v>
      </c>
      <c r="B183" s="13">
        <v>2033</v>
      </c>
      <c r="C183" s="15">
        <v>152212</v>
      </c>
      <c r="D183" s="15">
        <v>104757</v>
      </c>
      <c r="E183" s="14">
        <f>Tasas_Informalidad_Proy!$I$23</f>
        <v>75.289599999999993</v>
      </c>
      <c r="F183" s="15">
        <f t="shared" si="8"/>
        <v>78871.126271999994</v>
      </c>
      <c r="G183" s="15">
        <f t="shared" si="9"/>
        <v>25885.87372800001</v>
      </c>
      <c r="H183" s="18">
        <f>E183-'Historico_GEIH_2007-2026'!$M$23</f>
        <v>-3.210400000000007</v>
      </c>
      <c r="I183" s="19">
        <f t="shared" si="10"/>
        <v>68.823088849762172</v>
      </c>
      <c r="J183" s="19">
        <f t="shared" si="11"/>
        <v>45.300075412621595</v>
      </c>
    </row>
    <row r="184" spans="1:10" ht="15.75" customHeight="1" x14ac:dyDescent="0.25">
      <c r="A184" s="6" t="s">
        <v>57</v>
      </c>
      <c r="B184" s="10">
        <v>2033</v>
      </c>
      <c r="C184" s="12">
        <v>443241</v>
      </c>
      <c r="D184" s="12">
        <v>304652</v>
      </c>
      <c r="E184" s="11">
        <f>Tasas_Informalidad_Proy!$I$24</f>
        <v>61.810600000000001</v>
      </c>
      <c r="F184" s="12">
        <f t="shared" si="8"/>
        <v>188307.22911200003</v>
      </c>
      <c r="G184" s="12">
        <f t="shared" si="9"/>
        <v>116344.77088799998</v>
      </c>
      <c r="H184" s="16">
        <f>E184-'Historico_GEIH_2007-2026'!$M$24</f>
        <v>-3.1893999999999991</v>
      </c>
      <c r="I184" s="17">
        <f t="shared" si="10"/>
        <v>68.732811269715583</v>
      </c>
      <c r="J184" s="17">
        <f t="shared" si="11"/>
        <v>45.490920788309289</v>
      </c>
    </row>
    <row r="185" spans="1:10" ht="15.75" customHeight="1" x14ac:dyDescent="0.25">
      <c r="A185" s="8" t="s">
        <v>58</v>
      </c>
      <c r="B185" s="13">
        <v>2033</v>
      </c>
      <c r="C185" s="15">
        <v>214512</v>
      </c>
      <c r="D185" s="15">
        <v>146112</v>
      </c>
      <c r="E185" s="14">
        <f>Tasas_Informalidad_Proy!$I$25</f>
        <v>70.0595</v>
      </c>
      <c r="F185" s="15">
        <f t="shared" si="8"/>
        <v>102365.33664000001</v>
      </c>
      <c r="G185" s="15">
        <f t="shared" si="9"/>
        <v>43746.663360000006</v>
      </c>
      <c r="H185" s="18">
        <f>E185-'Historico_GEIH_2007-2026'!$M$25</f>
        <v>-3.2404999999999973</v>
      </c>
      <c r="I185" s="19">
        <f t="shared" si="10"/>
        <v>68.113671962407693</v>
      </c>
      <c r="J185" s="19">
        <f t="shared" si="11"/>
        <v>46.813403416557158</v>
      </c>
    </row>
    <row r="186" spans="1:10" ht="15.75" customHeight="1" x14ac:dyDescent="0.25">
      <c r="A186" s="6" t="s">
        <v>59</v>
      </c>
      <c r="B186" s="10">
        <v>2033</v>
      </c>
      <c r="C186" s="12">
        <v>621667</v>
      </c>
      <c r="D186" s="12">
        <v>438124</v>
      </c>
      <c r="E186" s="11">
        <f>Tasas_Informalidad_Proy!$I$26</f>
        <v>55.499600000000001</v>
      </c>
      <c r="F186" s="12">
        <f t="shared" si="8"/>
        <v>243157.06750400001</v>
      </c>
      <c r="G186" s="12">
        <f t="shared" si="9"/>
        <v>194966.93249599999</v>
      </c>
      <c r="H186" s="16">
        <f>E186-'Historico_GEIH_2007-2026'!$M$26</f>
        <v>-3.2004000000000019</v>
      </c>
      <c r="I186" s="17">
        <f t="shared" si="10"/>
        <v>70.475672667199646</v>
      </c>
      <c r="J186" s="17">
        <f t="shared" si="11"/>
        <v>41.8929344203924</v>
      </c>
    </row>
    <row r="187" spans="1:10" ht="15.75" customHeight="1" x14ac:dyDescent="0.25">
      <c r="A187" s="8" t="s">
        <v>60</v>
      </c>
      <c r="B187" s="13">
        <v>2033</v>
      </c>
      <c r="C187" s="15">
        <v>306907</v>
      </c>
      <c r="D187" s="15">
        <v>205541</v>
      </c>
      <c r="E187" s="14">
        <f>Tasas_Informalidad_Proy!$I$27</f>
        <v>51.6858</v>
      </c>
      <c r="F187" s="15">
        <f t="shared" si="8"/>
        <v>106235.510178</v>
      </c>
      <c r="G187" s="15">
        <f t="shared" si="9"/>
        <v>99305.489821999989</v>
      </c>
      <c r="H187" s="18">
        <f>E187-'Historico_GEIH_2007-2026'!$M$27</f>
        <v>-3.3141999999999996</v>
      </c>
      <c r="I187" s="19">
        <f t="shared" si="10"/>
        <v>66.971753658274338</v>
      </c>
      <c r="J187" s="19">
        <f t="shared" si="11"/>
        <v>49.31668134338161</v>
      </c>
    </row>
    <row r="188" spans="1:10" ht="15.75" customHeight="1" x14ac:dyDescent="0.25">
      <c r="A188" s="6" t="s">
        <v>61</v>
      </c>
      <c r="B188" s="10">
        <v>2033</v>
      </c>
      <c r="C188" s="12">
        <v>363885</v>
      </c>
      <c r="D188" s="12">
        <v>249194</v>
      </c>
      <c r="E188" s="11">
        <f>Tasas_Informalidad_Proy!$I$28</f>
        <v>65.034999999999997</v>
      </c>
      <c r="F188" s="12">
        <f t="shared" si="8"/>
        <v>162063.31789999999</v>
      </c>
      <c r="G188" s="12">
        <f t="shared" si="9"/>
        <v>87130.682100000005</v>
      </c>
      <c r="H188" s="16">
        <f>E188-'Historico_GEIH_2007-2026'!$M$28</f>
        <v>-3.2650000000000006</v>
      </c>
      <c r="I188" s="17">
        <f t="shared" si="10"/>
        <v>68.481525756763816</v>
      </c>
      <c r="J188" s="17">
        <f t="shared" si="11"/>
        <v>46.024783903304254</v>
      </c>
    </row>
    <row r="189" spans="1:10" ht="15.75" customHeight="1" x14ac:dyDescent="0.25">
      <c r="A189" s="6" t="s">
        <v>39</v>
      </c>
      <c r="B189" s="10">
        <v>2034</v>
      </c>
      <c r="C189" s="12">
        <v>7840309</v>
      </c>
      <c r="D189" s="12">
        <v>5568391</v>
      </c>
      <c r="E189" s="11">
        <f>Tasas_Informalidad_Proy!$J$6</f>
        <v>38.8857</v>
      </c>
      <c r="F189" s="12">
        <f t="shared" si="8"/>
        <v>2165307.8190870001</v>
      </c>
      <c r="G189" s="12">
        <f t="shared" si="9"/>
        <v>3403083.1809129999</v>
      </c>
      <c r="H189" s="16">
        <f>E189-'Historico_GEIH_2007-2026'!$M$6</f>
        <v>-3.7143000000000015</v>
      </c>
      <c r="I189" s="17">
        <f t="shared" si="10"/>
        <v>71.022596175737462</v>
      </c>
      <c r="J189" s="17">
        <f t="shared" si="11"/>
        <v>40.800259895542531</v>
      </c>
    </row>
    <row r="190" spans="1:10" ht="15.75" customHeight="1" x14ac:dyDescent="0.25">
      <c r="A190" s="8" t="s">
        <v>40</v>
      </c>
      <c r="B190" s="13">
        <v>2034</v>
      </c>
      <c r="C190" s="15">
        <v>2481654</v>
      </c>
      <c r="D190" s="15">
        <v>1708922</v>
      </c>
      <c r="E190" s="14">
        <f>Tasas_Informalidad_Proy!$J$7</f>
        <v>38.504899999999999</v>
      </c>
      <c r="F190" s="15">
        <f t="shared" si="8"/>
        <v>658018.70717800001</v>
      </c>
      <c r="G190" s="15">
        <f t="shared" si="9"/>
        <v>1050903.2928220001</v>
      </c>
      <c r="H190" s="18">
        <f>E190-'Historico_GEIH_2007-2026'!$M$7</f>
        <v>-4.6951000000000036</v>
      </c>
      <c r="I190" s="19">
        <f t="shared" si="10"/>
        <v>68.862218504271738</v>
      </c>
      <c r="J190" s="19">
        <f t="shared" si="11"/>
        <v>45.217511390221439</v>
      </c>
    </row>
    <row r="191" spans="1:10" ht="15.75" customHeight="1" x14ac:dyDescent="0.25">
      <c r="A191" s="6" t="s">
        <v>41</v>
      </c>
      <c r="B191" s="10">
        <v>2034</v>
      </c>
      <c r="C191" s="12">
        <v>2189573</v>
      </c>
      <c r="D191" s="12">
        <v>1499513</v>
      </c>
      <c r="E191" s="11">
        <f>Tasas_Informalidad_Proy!$J$8</f>
        <v>45.848399999999998</v>
      </c>
      <c r="F191" s="12">
        <f t="shared" si="8"/>
        <v>687502.71829200001</v>
      </c>
      <c r="G191" s="12">
        <f t="shared" si="9"/>
        <v>812010.28170799999</v>
      </c>
      <c r="H191" s="16">
        <f>E191-'Historico_GEIH_2007-2026'!$M$8</f>
        <v>-4.4515999999999991</v>
      </c>
      <c r="I191" s="17">
        <f t="shared" si="10"/>
        <v>68.484266110332925</v>
      </c>
      <c r="J191" s="17">
        <f t="shared" si="11"/>
        <v>46.018940816118295</v>
      </c>
    </row>
    <row r="192" spans="1:10" ht="15.75" customHeight="1" x14ac:dyDescent="0.25">
      <c r="A192" s="8" t="s">
        <v>42</v>
      </c>
      <c r="B192" s="13">
        <v>2034</v>
      </c>
      <c r="C192" s="15">
        <v>1226454</v>
      </c>
      <c r="D192" s="15">
        <v>835423</v>
      </c>
      <c r="E192" s="14">
        <f>Tasas_Informalidad_Proy!$J$9</f>
        <v>52.604100000000003</v>
      </c>
      <c r="F192" s="15">
        <f t="shared" si="8"/>
        <v>439466.75034299999</v>
      </c>
      <c r="G192" s="15">
        <f t="shared" si="9"/>
        <v>395956.24965700001</v>
      </c>
      <c r="H192" s="18">
        <f>E192-'Historico_GEIH_2007-2026'!$M$9</f>
        <v>-3.5959000000000003</v>
      </c>
      <c r="I192" s="19">
        <f t="shared" si="10"/>
        <v>68.116945274751444</v>
      </c>
      <c r="J192" s="19">
        <f t="shared" si="11"/>
        <v>46.806348400750281</v>
      </c>
    </row>
    <row r="193" spans="1:10" ht="15.75" customHeight="1" x14ac:dyDescent="0.25">
      <c r="A193" s="6" t="s">
        <v>43</v>
      </c>
      <c r="B193" s="10">
        <v>2034</v>
      </c>
      <c r="C193" s="12">
        <v>618926</v>
      </c>
      <c r="D193" s="12">
        <v>420432</v>
      </c>
      <c r="E193" s="11">
        <f>Tasas_Informalidad_Proy!$J$10</f>
        <v>57.859299999999998</v>
      </c>
      <c r="F193" s="12">
        <f t="shared" si="8"/>
        <v>243259.01217599999</v>
      </c>
      <c r="G193" s="12">
        <f t="shared" si="9"/>
        <v>177172.98782399998</v>
      </c>
      <c r="H193" s="16">
        <f>E193-'Historico_GEIH_2007-2026'!$M$10</f>
        <v>-4.5407000000000011</v>
      </c>
      <c r="I193" s="17">
        <f t="shared" si="10"/>
        <v>67.929283953170497</v>
      </c>
      <c r="J193" s="17">
        <f t="shared" si="11"/>
        <v>47.211915363245424</v>
      </c>
    </row>
    <row r="194" spans="1:10" ht="15.75" customHeight="1" x14ac:dyDescent="0.25">
      <c r="A194" s="8" t="s">
        <v>44</v>
      </c>
      <c r="B194" s="13">
        <v>2034</v>
      </c>
      <c r="C194" s="15">
        <v>498317</v>
      </c>
      <c r="D194" s="15">
        <v>339372</v>
      </c>
      <c r="E194" s="14">
        <f>Tasas_Informalidad_Proy!$J$11</f>
        <v>45.7226</v>
      </c>
      <c r="F194" s="15">
        <f t="shared" si="8"/>
        <v>155169.70207200001</v>
      </c>
      <c r="G194" s="15">
        <f t="shared" si="9"/>
        <v>184202.29792799999</v>
      </c>
      <c r="H194" s="18">
        <f>E194-'Historico_GEIH_2007-2026'!$M$11</f>
        <v>-4.1773999999999987</v>
      </c>
      <c r="I194" s="19">
        <f t="shared" si="10"/>
        <v>68.103636841608846</v>
      </c>
      <c r="J194" s="19">
        <f t="shared" si="11"/>
        <v>46.835036479143831</v>
      </c>
    </row>
    <row r="195" spans="1:10" ht="15.75" customHeight="1" x14ac:dyDescent="0.25">
      <c r="A195" s="6" t="s">
        <v>45</v>
      </c>
      <c r="B195" s="10">
        <v>2034</v>
      </c>
      <c r="C195" s="12">
        <v>405208</v>
      </c>
      <c r="D195" s="12">
        <v>290742</v>
      </c>
      <c r="E195" s="11">
        <f>Tasas_Informalidad_Proy!$J$12</f>
        <v>65.568200000000004</v>
      </c>
      <c r="F195" s="12">
        <f t="shared" si="8"/>
        <v>190634.29604400002</v>
      </c>
      <c r="G195" s="12">
        <f t="shared" si="9"/>
        <v>100107.70395599997</v>
      </c>
      <c r="H195" s="16">
        <f>E195-'Historico_GEIH_2007-2026'!$M$12</f>
        <v>-3.3318000000000012</v>
      </c>
      <c r="I195" s="17">
        <f t="shared" si="10"/>
        <v>71.751298098754219</v>
      </c>
      <c r="J195" s="17">
        <f t="shared" si="11"/>
        <v>39.370300816531497</v>
      </c>
    </row>
    <row r="196" spans="1:10" ht="15.75" customHeight="1" x14ac:dyDescent="0.25">
      <c r="A196" s="8" t="s">
        <v>46</v>
      </c>
      <c r="B196" s="13">
        <v>2034</v>
      </c>
      <c r="C196" s="15">
        <v>483863</v>
      </c>
      <c r="D196" s="15">
        <v>325695</v>
      </c>
      <c r="E196" s="14">
        <f>Tasas_Informalidad_Proy!$J$13</f>
        <v>53.788499999999999</v>
      </c>
      <c r="F196" s="15">
        <f t="shared" si="8"/>
        <v>175186.45507500001</v>
      </c>
      <c r="G196" s="15">
        <f t="shared" si="9"/>
        <v>150508.54492500002</v>
      </c>
      <c r="H196" s="18">
        <f>E196-'Historico_GEIH_2007-2026'!$M$13</f>
        <v>-3.7115000000000009</v>
      </c>
      <c r="I196" s="19">
        <f t="shared" si="10"/>
        <v>67.311408394524904</v>
      </c>
      <c r="J196" s="19">
        <f t="shared" si="11"/>
        <v>48.56322633138366</v>
      </c>
    </row>
    <row r="197" spans="1:10" ht="15.75" customHeight="1" x14ac:dyDescent="0.25">
      <c r="A197" s="6" t="s">
        <v>47</v>
      </c>
      <c r="B197" s="10">
        <v>2034</v>
      </c>
      <c r="C197" s="12">
        <v>773913</v>
      </c>
      <c r="D197" s="12">
        <v>543379</v>
      </c>
      <c r="E197" s="11">
        <f>Tasas_Informalidad_Proy!$J$14</f>
        <v>65.968000000000004</v>
      </c>
      <c r="F197" s="12">
        <f t="shared" ref="F197:F260" si="12">D197*E197/100</f>
        <v>358456.25872000004</v>
      </c>
      <c r="G197" s="12">
        <f t="shared" ref="G197:G260" si="13">D197*(1-E197/100)</f>
        <v>184922.74127999999</v>
      </c>
      <c r="H197" s="16">
        <f>E197-'Historico_GEIH_2007-2026'!$M$14</f>
        <v>-4.3319999999999936</v>
      </c>
      <c r="I197" s="17">
        <f t="shared" ref="I197:I260" si="14">IF(C197&gt;0,D197/C197*100,"")</f>
        <v>70.21189720291558</v>
      </c>
      <c r="J197" s="17">
        <f t="shared" ref="J197:J260" si="15">IF(D197&gt;0,(C197-D197)/D197*100,"")</f>
        <v>42.426004685495762</v>
      </c>
    </row>
    <row r="198" spans="1:10" ht="15.75" customHeight="1" x14ac:dyDescent="0.25">
      <c r="A198" s="8" t="s">
        <v>48</v>
      </c>
      <c r="B198" s="13">
        <v>2034</v>
      </c>
      <c r="C198" s="15">
        <v>570630</v>
      </c>
      <c r="D198" s="15">
        <v>386622</v>
      </c>
      <c r="E198" s="14">
        <f>Tasas_Informalidad_Proy!$J$15</f>
        <v>57.282200000000003</v>
      </c>
      <c r="F198" s="15">
        <f t="shared" si="12"/>
        <v>221465.58728400001</v>
      </c>
      <c r="G198" s="15">
        <f t="shared" si="13"/>
        <v>165156.41271599999</v>
      </c>
      <c r="H198" s="18">
        <f>E198-'Historico_GEIH_2007-2026'!$M$15</f>
        <v>-3.2177999999999969</v>
      </c>
      <c r="I198" s="19">
        <f t="shared" si="14"/>
        <v>67.753535565953413</v>
      </c>
      <c r="J198" s="19">
        <f t="shared" si="15"/>
        <v>47.593773763520957</v>
      </c>
    </row>
    <row r="199" spans="1:10" ht="15.75" customHeight="1" x14ac:dyDescent="0.25">
      <c r="A199" s="6" t="s">
        <v>49</v>
      </c>
      <c r="B199" s="10">
        <v>2034</v>
      </c>
      <c r="C199" s="12">
        <v>661751</v>
      </c>
      <c r="D199" s="12">
        <v>451248</v>
      </c>
      <c r="E199" s="11">
        <f>Tasas_Informalidad_Proy!$J$16</f>
        <v>70.624600000000001</v>
      </c>
      <c r="F199" s="12">
        <f t="shared" si="12"/>
        <v>318692.09500799997</v>
      </c>
      <c r="G199" s="12">
        <f t="shared" si="13"/>
        <v>132555.904992</v>
      </c>
      <c r="H199" s="16">
        <f>E199-'Historico_GEIH_2007-2026'!$M$16</f>
        <v>-3.7754000000000048</v>
      </c>
      <c r="I199" s="17">
        <f t="shared" si="14"/>
        <v>68.189998957311744</v>
      </c>
      <c r="J199" s="17">
        <f t="shared" si="15"/>
        <v>46.649071020813388</v>
      </c>
    </row>
    <row r="200" spans="1:10" ht="15.75" customHeight="1" x14ac:dyDescent="0.25">
      <c r="A200" s="8" t="s">
        <v>50</v>
      </c>
      <c r="B200" s="13">
        <v>2034</v>
      </c>
      <c r="C200" s="15">
        <v>996169</v>
      </c>
      <c r="D200" s="15">
        <v>669255</v>
      </c>
      <c r="E200" s="14">
        <f>Tasas_Informalidad_Proy!$J$17</f>
        <v>52.625700000000002</v>
      </c>
      <c r="F200" s="15">
        <f t="shared" si="12"/>
        <v>352200.12853500003</v>
      </c>
      <c r="G200" s="15">
        <f t="shared" si="13"/>
        <v>317054.87146500003</v>
      </c>
      <c r="H200" s="18">
        <f>E200-'Historico_GEIH_2007-2026'!$M$17</f>
        <v>-3.4742999999999995</v>
      </c>
      <c r="I200" s="19">
        <f t="shared" si="14"/>
        <v>67.182877604101307</v>
      </c>
      <c r="J200" s="19">
        <f t="shared" si="15"/>
        <v>48.847449776243735</v>
      </c>
    </row>
    <row r="201" spans="1:10" ht="15.75" customHeight="1" x14ac:dyDescent="0.25">
      <c r="A201" s="6" t="s">
        <v>51</v>
      </c>
      <c r="B201" s="10">
        <v>2034</v>
      </c>
      <c r="C201" s="12">
        <v>616324</v>
      </c>
      <c r="D201" s="12">
        <v>432071</v>
      </c>
      <c r="E201" s="11">
        <f>Tasas_Informalidad_Proy!$J$18</f>
        <v>57.7684</v>
      </c>
      <c r="F201" s="12">
        <f t="shared" si="12"/>
        <v>249600.50356399998</v>
      </c>
      <c r="G201" s="12">
        <f t="shared" si="13"/>
        <v>182470.49643600002</v>
      </c>
      <c r="H201" s="16">
        <f>E201-'Historico_GEIH_2007-2026'!$M$18</f>
        <v>-3.5315999999999974</v>
      </c>
      <c r="I201" s="17">
        <f t="shared" si="14"/>
        <v>70.10452294572336</v>
      </c>
      <c r="J201" s="17">
        <f t="shared" si="15"/>
        <v>42.644148762587633</v>
      </c>
    </row>
    <row r="202" spans="1:10" ht="15.75" customHeight="1" x14ac:dyDescent="0.25">
      <c r="A202" s="8" t="s">
        <v>52</v>
      </c>
      <c r="B202" s="13">
        <v>2034</v>
      </c>
      <c r="C202" s="15">
        <v>206693</v>
      </c>
      <c r="D202" s="15">
        <v>148021</v>
      </c>
      <c r="E202" s="14">
        <f>Tasas_Informalidad_Proy!$J$19</f>
        <v>57.736800000000002</v>
      </c>
      <c r="F202" s="15">
        <f t="shared" si="12"/>
        <v>85462.588728000002</v>
      </c>
      <c r="G202" s="15">
        <f t="shared" si="13"/>
        <v>62558.411271999998</v>
      </c>
      <c r="H202" s="18">
        <f>E202-'Historico_GEIH_2007-2026'!$M$19</f>
        <v>-3.4632000000000005</v>
      </c>
      <c r="I202" s="19">
        <f t="shared" si="14"/>
        <v>71.613939514158673</v>
      </c>
      <c r="J202" s="19">
        <f t="shared" si="15"/>
        <v>39.637618986495163</v>
      </c>
    </row>
    <row r="203" spans="1:10" ht="15.75" customHeight="1" x14ac:dyDescent="0.25">
      <c r="A203" s="6" t="s">
        <v>53</v>
      </c>
      <c r="B203" s="10">
        <v>2034</v>
      </c>
      <c r="C203" s="12">
        <v>201331</v>
      </c>
      <c r="D203" s="12">
        <v>141316</v>
      </c>
      <c r="E203" s="11">
        <f>Tasas_Informalidad_Proy!$J$20</f>
        <v>71.953599999999994</v>
      </c>
      <c r="F203" s="12">
        <f t="shared" si="12"/>
        <v>101681.949376</v>
      </c>
      <c r="G203" s="12">
        <f t="shared" si="13"/>
        <v>39634.050624000003</v>
      </c>
      <c r="H203" s="16">
        <f>E203-'Historico_GEIH_2007-2026'!$M$20</f>
        <v>-3.5464000000000055</v>
      </c>
      <c r="I203" s="17">
        <f t="shared" si="14"/>
        <v>70.190879695625611</v>
      </c>
      <c r="J203" s="17">
        <f t="shared" si="15"/>
        <v>42.468651815788725</v>
      </c>
    </row>
    <row r="204" spans="1:10" ht="15.75" customHeight="1" x14ac:dyDescent="0.25">
      <c r="A204" s="8" t="s">
        <v>54</v>
      </c>
      <c r="B204" s="13">
        <v>2034</v>
      </c>
      <c r="C204" s="15">
        <v>375126</v>
      </c>
      <c r="D204" s="15">
        <v>263655</v>
      </c>
      <c r="E204" s="14">
        <f>Tasas_Informalidad_Proy!$J$21</f>
        <v>65.578500000000005</v>
      </c>
      <c r="F204" s="15">
        <f t="shared" si="12"/>
        <v>172900.994175</v>
      </c>
      <c r="G204" s="15">
        <f t="shared" si="13"/>
        <v>90754.005824999986</v>
      </c>
      <c r="H204" s="18">
        <f>E204-'Historico_GEIH_2007-2026'!$M$21</f>
        <v>-3.4214999999999947</v>
      </c>
      <c r="I204" s="19">
        <f t="shared" si="14"/>
        <v>70.284384446825868</v>
      </c>
      <c r="J204" s="19">
        <f t="shared" si="15"/>
        <v>42.279114752233035</v>
      </c>
    </row>
    <row r="205" spans="1:10" ht="15.75" customHeight="1" x14ac:dyDescent="0.25">
      <c r="A205" s="6" t="s">
        <v>55</v>
      </c>
      <c r="B205" s="10">
        <v>2034</v>
      </c>
      <c r="C205" s="12">
        <v>726996</v>
      </c>
      <c r="D205" s="12">
        <v>507012</v>
      </c>
      <c r="E205" s="11">
        <f>Tasas_Informalidad_Proy!$J$22</f>
        <v>64.060900000000004</v>
      </c>
      <c r="F205" s="12">
        <f t="shared" si="12"/>
        <v>324796.45030800003</v>
      </c>
      <c r="G205" s="12">
        <f t="shared" si="13"/>
        <v>182215.549692</v>
      </c>
      <c r="H205" s="16">
        <f>E205-'Historico_GEIH_2007-2026'!$M$22</f>
        <v>-3.5390999999999906</v>
      </c>
      <c r="I205" s="17">
        <f t="shared" si="14"/>
        <v>69.740686331149007</v>
      </c>
      <c r="J205" s="17">
        <f t="shared" si="15"/>
        <v>43.38832216988947</v>
      </c>
    </row>
    <row r="206" spans="1:10" ht="15.75" customHeight="1" x14ac:dyDescent="0.25">
      <c r="A206" s="8" t="s">
        <v>56</v>
      </c>
      <c r="B206" s="13">
        <v>2034</v>
      </c>
      <c r="C206" s="15">
        <v>153198</v>
      </c>
      <c r="D206" s="15">
        <v>105902</v>
      </c>
      <c r="E206" s="14">
        <f>Tasas_Informalidad_Proy!$J$23</f>
        <v>74.969399999999993</v>
      </c>
      <c r="F206" s="15">
        <f t="shared" si="12"/>
        <v>79394.093987999993</v>
      </c>
      <c r="G206" s="15">
        <f t="shared" si="13"/>
        <v>26507.906012000003</v>
      </c>
      <c r="H206" s="18">
        <f>E206-'Historico_GEIH_2007-2026'!$M$23</f>
        <v>-3.5306000000000068</v>
      </c>
      <c r="I206" s="19">
        <f t="shared" si="14"/>
        <v>69.127534302014382</v>
      </c>
      <c r="J206" s="19">
        <f t="shared" si="15"/>
        <v>44.660157504107573</v>
      </c>
    </row>
    <row r="207" spans="1:10" ht="15.75" customHeight="1" x14ac:dyDescent="0.25">
      <c r="A207" s="6" t="s">
        <v>57</v>
      </c>
      <c r="B207" s="10">
        <v>2034</v>
      </c>
      <c r="C207" s="12">
        <v>447423</v>
      </c>
      <c r="D207" s="12">
        <v>308402</v>
      </c>
      <c r="E207" s="11">
        <f>Tasas_Informalidad_Proy!$J$24</f>
        <v>61.501899999999999</v>
      </c>
      <c r="F207" s="12">
        <f t="shared" si="12"/>
        <v>189673.08963799998</v>
      </c>
      <c r="G207" s="12">
        <f t="shared" si="13"/>
        <v>118728.91036200001</v>
      </c>
      <c r="H207" s="16">
        <f>E207-'Historico_GEIH_2007-2026'!$M$24</f>
        <v>-3.4981000000000009</v>
      </c>
      <c r="I207" s="17">
        <f t="shared" si="14"/>
        <v>68.9285083690378</v>
      </c>
      <c r="J207" s="17">
        <f t="shared" si="15"/>
        <v>45.077852932211854</v>
      </c>
    </row>
    <row r="208" spans="1:10" ht="15.75" customHeight="1" x14ac:dyDescent="0.25">
      <c r="A208" s="8" t="s">
        <v>58</v>
      </c>
      <c r="B208" s="13">
        <v>2034</v>
      </c>
      <c r="C208" s="15">
        <v>214448</v>
      </c>
      <c r="D208" s="15">
        <v>146817</v>
      </c>
      <c r="E208" s="14">
        <f>Tasas_Informalidad_Proy!$J$25</f>
        <v>69.743300000000005</v>
      </c>
      <c r="F208" s="15">
        <f t="shared" si="12"/>
        <v>102395.02076100001</v>
      </c>
      <c r="G208" s="15">
        <f t="shared" si="13"/>
        <v>44421.979238999986</v>
      </c>
      <c r="H208" s="18">
        <f>E208-'Historico_GEIH_2007-2026'!$M$25</f>
        <v>-3.5566999999999922</v>
      </c>
      <c r="I208" s="19">
        <f t="shared" si="14"/>
        <v>68.462750876669404</v>
      </c>
      <c r="J208" s="19">
        <f t="shared" si="15"/>
        <v>46.064829004815515</v>
      </c>
    </row>
    <row r="209" spans="1:10" ht="15.75" customHeight="1" x14ac:dyDescent="0.25">
      <c r="A209" s="6" t="s">
        <v>59</v>
      </c>
      <c r="B209" s="10">
        <v>2034</v>
      </c>
      <c r="C209" s="12">
        <v>625130</v>
      </c>
      <c r="D209" s="12">
        <v>442126</v>
      </c>
      <c r="E209" s="11">
        <f>Tasas_Informalidad_Proy!$J$26</f>
        <v>55.191899999999997</v>
      </c>
      <c r="F209" s="12">
        <f t="shared" si="12"/>
        <v>244017.73979399996</v>
      </c>
      <c r="G209" s="12">
        <f t="shared" si="13"/>
        <v>198108.26020600004</v>
      </c>
      <c r="H209" s="16">
        <f>E209-'Historico_GEIH_2007-2026'!$M$26</f>
        <v>-3.508100000000006</v>
      </c>
      <c r="I209" s="17">
        <f t="shared" si="14"/>
        <v>70.725449106585828</v>
      </c>
      <c r="J209" s="17">
        <f t="shared" si="15"/>
        <v>41.391820431279768</v>
      </c>
    </row>
    <row r="210" spans="1:10" ht="15.75" customHeight="1" x14ac:dyDescent="0.25">
      <c r="A210" s="8" t="s">
        <v>60</v>
      </c>
      <c r="B210" s="13">
        <v>2034</v>
      </c>
      <c r="C210" s="15">
        <v>306399</v>
      </c>
      <c r="D210" s="15">
        <v>204963</v>
      </c>
      <c r="E210" s="14">
        <f>Tasas_Informalidad_Proy!$J$27</f>
        <v>51.375799999999998</v>
      </c>
      <c r="F210" s="15">
        <f t="shared" si="12"/>
        <v>105301.38095399999</v>
      </c>
      <c r="G210" s="15">
        <f t="shared" si="13"/>
        <v>99661.619046000007</v>
      </c>
      <c r="H210" s="18">
        <f>E210-'Historico_GEIH_2007-2026'!$M$27</f>
        <v>-3.6242000000000019</v>
      </c>
      <c r="I210" s="19">
        <f t="shared" si="14"/>
        <v>66.894147826853228</v>
      </c>
      <c r="J210" s="19">
        <f t="shared" si="15"/>
        <v>49.489907934602826</v>
      </c>
    </row>
    <row r="211" spans="1:10" ht="15.75" customHeight="1" x14ac:dyDescent="0.25">
      <c r="A211" s="6" t="s">
        <v>61</v>
      </c>
      <c r="B211" s="10">
        <v>2034</v>
      </c>
      <c r="C211" s="12">
        <v>367870</v>
      </c>
      <c r="D211" s="12">
        <v>252613</v>
      </c>
      <c r="E211" s="11">
        <f>Tasas_Informalidad_Proy!$J$28</f>
        <v>64.718999999999994</v>
      </c>
      <c r="F211" s="12">
        <f t="shared" si="12"/>
        <v>163488.60746999999</v>
      </c>
      <c r="G211" s="12">
        <f t="shared" si="13"/>
        <v>89124.392530000012</v>
      </c>
      <c r="H211" s="16">
        <f>E211-'Historico_GEIH_2007-2026'!$M$28</f>
        <v>-3.5810000000000031</v>
      </c>
      <c r="I211" s="17">
        <f t="shared" si="14"/>
        <v>68.669095060755154</v>
      </c>
      <c r="J211" s="17">
        <f t="shared" si="15"/>
        <v>45.625917906046013</v>
      </c>
    </row>
    <row r="212" spans="1:10" ht="15.75" customHeight="1" x14ac:dyDescent="0.25">
      <c r="A212" s="6" t="s">
        <v>39</v>
      </c>
      <c r="B212" s="10">
        <v>2035</v>
      </c>
      <c r="C212" s="12">
        <v>7814324</v>
      </c>
      <c r="D212" s="12">
        <v>5541488</v>
      </c>
      <c r="E212" s="11">
        <f>Tasas_Informalidad_Proy!$K$6</f>
        <v>38.583100000000002</v>
      </c>
      <c r="F212" s="12">
        <f t="shared" si="12"/>
        <v>2138077.8565280004</v>
      </c>
      <c r="G212" s="12">
        <f t="shared" si="13"/>
        <v>3403410.143472</v>
      </c>
      <c r="H212" s="16">
        <f>E212-'Historico_GEIH_2007-2026'!$M$6</f>
        <v>-4.0168999999999997</v>
      </c>
      <c r="I212" s="17">
        <f t="shared" si="14"/>
        <v>70.91448985222523</v>
      </c>
      <c r="J212" s="17">
        <f t="shared" si="15"/>
        <v>41.014904300072466</v>
      </c>
    </row>
    <row r="213" spans="1:10" ht="15.75" customHeight="1" x14ac:dyDescent="0.25">
      <c r="A213" s="8" t="s">
        <v>40</v>
      </c>
      <c r="B213" s="13">
        <v>2035</v>
      </c>
      <c r="C213" s="15">
        <v>2472359</v>
      </c>
      <c r="D213" s="15">
        <v>1699729</v>
      </c>
      <c r="E213" s="14">
        <f>Tasas_Informalidad_Proy!$K$7</f>
        <v>38.126399999999997</v>
      </c>
      <c r="F213" s="15">
        <f t="shared" si="12"/>
        <v>648045.47745599994</v>
      </c>
      <c r="G213" s="15">
        <f t="shared" si="13"/>
        <v>1051683.5225439998</v>
      </c>
      <c r="H213" s="18">
        <f>E213-'Historico_GEIH_2007-2026'!$M$7</f>
        <v>-5.0736000000000061</v>
      </c>
      <c r="I213" s="19">
        <f t="shared" si="14"/>
        <v>68.749279534242405</v>
      </c>
      <c r="J213" s="19">
        <f t="shared" si="15"/>
        <v>45.456069761709074</v>
      </c>
    </row>
    <row r="214" spans="1:10" ht="15.75" customHeight="1" x14ac:dyDescent="0.25">
      <c r="A214" s="6" t="s">
        <v>41</v>
      </c>
      <c r="B214" s="10">
        <v>2035</v>
      </c>
      <c r="C214" s="12">
        <v>2177352</v>
      </c>
      <c r="D214" s="12">
        <v>1488973</v>
      </c>
      <c r="E214" s="11">
        <f>Tasas_Informalidad_Proy!$K$8</f>
        <v>45.490600000000001</v>
      </c>
      <c r="F214" s="12">
        <f t="shared" si="12"/>
        <v>677342.75153799995</v>
      </c>
      <c r="G214" s="12">
        <f t="shared" si="13"/>
        <v>811630.24846199993</v>
      </c>
      <c r="H214" s="16">
        <f>E214-'Historico_GEIH_2007-2026'!$M$8</f>
        <v>-4.8093999999999966</v>
      </c>
      <c r="I214" s="17">
        <f t="shared" si="14"/>
        <v>68.384579066682832</v>
      </c>
      <c r="J214" s="17">
        <f t="shared" si="15"/>
        <v>46.231798696148289</v>
      </c>
    </row>
    <row r="215" spans="1:10" ht="15.75" customHeight="1" x14ac:dyDescent="0.25">
      <c r="A215" s="8" t="s">
        <v>42</v>
      </c>
      <c r="B215" s="13">
        <v>2035</v>
      </c>
      <c r="C215" s="15">
        <v>1218618</v>
      </c>
      <c r="D215" s="15">
        <v>830661</v>
      </c>
      <c r="E215" s="14">
        <f>Tasas_Informalidad_Proy!$K$9</f>
        <v>52.290700000000001</v>
      </c>
      <c r="F215" s="15">
        <f t="shared" si="12"/>
        <v>434358.451527</v>
      </c>
      <c r="G215" s="15">
        <f t="shared" si="13"/>
        <v>396302.548473</v>
      </c>
      <c r="H215" s="18">
        <f>E215-'Historico_GEIH_2007-2026'!$M$9</f>
        <v>-3.9093000000000018</v>
      </c>
      <c r="I215" s="19">
        <f t="shared" si="14"/>
        <v>68.164182705326866</v>
      </c>
      <c r="J215" s="19">
        <f t="shared" si="15"/>
        <v>46.704612350886826</v>
      </c>
    </row>
    <row r="216" spans="1:10" ht="15.75" customHeight="1" x14ac:dyDescent="0.25">
      <c r="A216" s="6" t="s">
        <v>43</v>
      </c>
      <c r="B216" s="10">
        <v>2035</v>
      </c>
      <c r="C216" s="12">
        <v>618385</v>
      </c>
      <c r="D216" s="12">
        <v>419470</v>
      </c>
      <c r="E216" s="11">
        <f>Tasas_Informalidad_Proy!$K$10</f>
        <v>57.474699999999999</v>
      </c>
      <c r="F216" s="12">
        <f t="shared" si="12"/>
        <v>241089.12408999997</v>
      </c>
      <c r="G216" s="12">
        <f t="shared" si="13"/>
        <v>178380.87591</v>
      </c>
      <c r="H216" s="16">
        <f>E216-'Historico_GEIH_2007-2026'!$M$10</f>
        <v>-4.9253</v>
      </c>
      <c r="I216" s="17">
        <f t="shared" si="14"/>
        <v>67.833146017448669</v>
      </c>
      <c r="J216" s="17">
        <f t="shared" si="15"/>
        <v>47.420554509261684</v>
      </c>
    </row>
    <row r="217" spans="1:10" ht="15.75" customHeight="1" x14ac:dyDescent="0.25">
      <c r="A217" s="8" t="s">
        <v>44</v>
      </c>
      <c r="B217" s="13">
        <v>2035</v>
      </c>
      <c r="C217" s="15">
        <v>500311</v>
      </c>
      <c r="D217" s="15">
        <v>340452</v>
      </c>
      <c r="E217" s="14">
        <f>Tasas_Informalidad_Proy!$K$11</f>
        <v>45.375500000000002</v>
      </c>
      <c r="F217" s="15">
        <f t="shared" si="12"/>
        <v>154481.79726000002</v>
      </c>
      <c r="G217" s="15">
        <f t="shared" si="13"/>
        <v>185970.20274000001</v>
      </c>
      <c r="H217" s="18">
        <f>E217-'Historico_GEIH_2007-2026'!$M$11</f>
        <v>-4.5244999999999962</v>
      </c>
      <c r="I217" s="19">
        <f t="shared" si="14"/>
        <v>68.048074097911098</v>
      </c>
      <c r="J217" s="19">
        <f t="shared" si="15"/>
        <v>46.954930504153303</v>
      </c>
    </row>
    <row r="218" spans="1:10" ht="15.75" customHeight="1" x14ac:dyDescent="0.25">
      <c r="A218" s="6" t="s">
        <v>45</v>
      </c>
      <c r="B218" s="10">
        <v>2035</v>
      </c>
      <c r="C218" s="12">
        <v>404684</v>
      </c>
      <c r="D218" s="12">
        <v>290414</v>
      </c>
      <c r="E218" s="11">
        <f>Tasas_Informalidad_Proy!$K$12</f>
        <v>65.285399999999996</v>
      </c>
      <c r="F218" s="12">
        <f t="shared" si="12"/>
        <v>189597.94155600001</v>
      </c>
      <c r="G218" s="12">
        <f t="shared" si="13"/>
        <v>100816.05844400002</v>
      </c>
      <c r="H218" s="16">
        <f>E218-'Historico_GEIH_2007-2026'!$M$12</f>
        <v>-3.61460000000001</v>
      </c>
      <c r="I218" s="17">
        <f t="shared" si="14"/>
        <v>71.763153472833125</v>
      </c>
      <c r="J218" s="17">
        <f t="shared" si="15"/>
        <v>39.347276646442666</v>
      </c>
    </row>
    <row r="219" spans="1:10" ht="15.75" customHeight="1" x14ac:dyDescent="0.25">
      <c r="A219" s="8" t="s">
        <v>46</v>
      </c>
      <c r="B219" s="13">
        <v>2035</v>
      </c>
      <c r="C219" s="15">
        <v>482431</v>
      </c>
      <c r="D219" s="15">
        <v>324592</v>
      </c>
      <c r="E219" s="14">
        <f>Tasas_Informalidad_Proy!$K$13</f>
        <v>53.458199999999998</v>
      </c>
      <c r="F219" s="15">
        <f t="shared" si="12"/>
        <v>173521.04054400002</v>
      </c>
      <c r="G219" s="15">
        <f t="shared" si="13"/>
        <v>151070.95945600001</v>
      </c>
      <c r="H219" s="18">
        <f>E219-'Historico_GEIH_2007-2026'!$M$13</f>
        <v>-4.0418000000000021</v>
      </c>
      <c r="I219" s="19">
        <f t="shared" si="14"/>
        <v>67.282575124732872</v>
      </c>
      <c r="J219" s="19">
        <f t="shared" si="15"/>
        <v>48.626891605461623</v>
      </c>
    </row>
    <row r="220" spans="1:10" ht="15.75" customHeight="1" x14ac:dyDescent="0.25">
      <c r="A220" s="6" t="s">
        <v>47</v>
      </c>
      <c r="B220" s="10">
        <v>2035</v>
      </c>
      <c r="C220" s="12">
        <v>771292</v>
      </c>
      <c r="D220" s="12">
        <v>541821</v>
      </c>
      <c r="E220" s="11">
        <f>Tasas_Informalidad_Proy!$K$14</f>
        <v>65.594200000000001</v>
      </c>
      <c r="F220" s="12">
        <f t="shared" si="12"/>
        <v>355403.15038199996</v>
      </c>
      <c r="G220" s="12">
        <f t="shared" si="13"/>
        <v>186417.84961799998</v>
      </c>
      <c r="H220" s="16">
        <f>E220-'Historico_GEIH_2007-2026'!$M$14</f>
        <v>-4.7057999999999964</v>
      </c>
      <c r="I220" s="17">
        <f t="shared" si="14"/>
        <v>70.248492140460414</v>
      </c>
      <c r="J220" s="17">
        <f t="shared" si="15"/>
        <v>42.351809915082654</v>
      </c>
    </row>
    <row r="221" spans="1:10" ht="15.75" customHeight="1" x14ac:dyDescent="0.25">
      <c r="A221" s="8" t="s">
        <v>48</v>
      </c>
      <c r="B221" s="13">
        <v>2035</v>
      </c>
      <c r="C221" s="15">
        <v>571525</v>
      </c>
      <c r="D221" s="15">
        <v>387481</v>
      </c>
      <c r="E221" s="14">
        <f>Tasas_Informalidad_Proy!$K$15</f>
        <v>56.980699999999999</v>
      </c>
      <c r="F221" s="15">
        <f t="shared" si="12"/>
        <v>220789.38616700002</v>
      </c>
      <c r="G221" s="15">
        <f t="shared" si="13"/>
        <v>166691.61383300001</v>
      </c>
      <c r="H221" s="18">
        <f>E221-'Historico_GEIH_2007-2026'!$M$15</f>
        <v>-3.5193000000000012</v>
      </c>
      <c r="I221" s="19">
        <f t="shared" si="14"/>
        <v>67.797734132365164</v>
      </c>
      <c r="J221" s="19">
        <f t="shared" si="15"/>
        <v>47.497554718812019</v>
      </c>
    </row>
    <row r="222" spans="1:10" ht="15.75" customHeight="1" x14ac:dyDescent="0.25">
      <c r="A222" s="6" t="s">
        <v>49</v>
      </c>
      <c r="B222" s="10">
        <v>2035</v>
      </c>
      <c r="C222" s="12">
        <v>670424</v>
      </c>
      <c r="D222" s="12">
        <v>458482</v>
      </c>
      <c r="E222" s="11">
        <f>Tasas_Informalidad_Proy!$K$16</f>
        <v>70.293700000000001</v>
      </c>
      <c r="F222" s="12">
        <f t="shared" si="12"/>
        <v>322283.96163400001</v>
      </c>
      <c r="G222" s="12">
        <f t="shared" si="13"/>
        <v>136198.03836599999</v>
      </c>
      <c r="H222" s="16">
        <f>E222-'Historico_GEIH_2007-2026'!$M$16</f>
        <v>-4.1063000000000045</v>
      </c>
      <c r="I222" s="17">
        <f t="shared" si="14"/>
        <v>68.386871591709138</v>
      </c>
      <c r="J222" s="17">
        <f t="shared" si="15"/>
        <v>46.226896584816849</v>
      </c>
    </row>
    <row r="223" spans="1:10" ht="15.75" customHeight="1" x14ac:dyDescent="0.25">
      <c r="A223" s="8" t="s">
        <v>50</v>
      </c>
      <c r="B223" s="13">
        <v>2035</v>
      </c>
      <c r="C223" s="15">
        <v>993617</v>
      </c>
      <c r="D223" s="15">
        <v>668910</v>
      </c>
      <c r="E223" s="14">
        <f>Tasas_Informalidad_Proy!$K$17</f>
        <v>52.324399999999997</v>
      </c>
      <c r="F223" s="15">
        <f t="shared" si="12"/>
        <v>350003.14403999998</v>
      </c>
      <c r="G223" s="15">
        <f t="shared" si="13"/>
        <v>318906.85596000007</v>
      </c>
      <c r="H223" s="18">
        <f>E223-'Historico_GEIH_2007-2026'!$M$17</f>
        <v>-3.7756000000000043</v>
      </c>
      <c r="I223" s="19">
        <f t="shared" si="14"/>
        <v>67.320708079672556</v>
      </c>
      <c r="J223" s="19">
        <f t="shared" si="15"/>
        <v>48.542703801707255</v>
      </c>
    </row>
    <row r="224" spans="1:10" ht="15.75" customHeight="1" x14ac:dyDescent="0.25">
      <c r="A224" s="6" t="s">
        <v>51</v>
      </c>
      <c r="B224" s="10">
        <v>2035</v>
      </c>
      <c r="C224" s="12">
        <v>619244</v>
      </c>
      <c r="D224" s="12">
        <v>434339</v>
      </c>
      <c r="E224" s="11">
        <f>Tasas_Informalidad_Proy!$K$18</f>
        <v>57.457999999999998</v>
      </c>
      <c r="F224" s="12">
        <f t="shared" si="12"/>
        <v>249562.50261999998</v>
      </c>
      <c r="G224" s="12">
        <f t="shared" si="13"/>
        <v>184776.49738000002</v>
      </c>
      <c r="H224" s="16">
        <f>E224-'Historico_GEIH_2007-2026'!$M$18</f>
        <v>-3.8419999999999987</v>
      </c>
      <c r="I224" s="17">
        <f t="shared" si="14"/>
        <v>70.140203215533774</v>
      </c>
      <c r="J224" s="17">
        <f t="shared" si="15"/>
        <v>42.571585788980499</v>
      </c>
    </row>
    <row r="225" spans="1:10" ht="15.75" customHeight="1" x14ac:dyDescent="0.25">
      <c r="A225" s="8" t="s">
        <v>52</v>
      </c>
      <c r="B225" s="13">
        <v>2035</v>
      </c>
      <c r="C225" s="15">
        <v>208775</v>
      </c>
      <c r="D225" s="15">
        <v>149576</v>
      </c>
      <c r="E225" s="14">
        <f>Tasas_Informalidad_Proy!$K$19</f>
        <v>57.438400000000001</v>
      </c>
      <c r="F225" s="15">
        <f t="shared" si="12"/>
        <v>85914.061184000006</v>
      </c>
      <c r="G225" s="15">
        <f t="shared" si="13"/>
        <v>63661.938816000002</v>
      </c>
      <c r="H225" s="18">
        <f>E225-'Historico_GEIH_2007-2026'!$M$19</f>
        <v>-3.7616000000000014</v>
      </c>
      <c r="I225" s="19">
        <f t="shared" si="14"/>
        <v>71.64459346186085</v>
      </c>
      <c r="J225" s="19">
        <f t="shared" si="15"/>
        <v>39.577873455634595</v>
      </c>
    </row>
    <row r="226" spans="1:10" ht="15.75" customHeight="1" x14ac:dyDescent="0.25">
      <c r="A226" s="6" t="s">
        <v>53</v>
      </c>
      <c r="B226" s="10">
        <v>2035</v>
      </c>
      <c r="C226" s="12">
        <v>202412</v>
      </c>
      <c r="D226" s="12">
        <v>142428</v>
      </c>
      <c r="E226" s="11">
        <f>Tasas_Informalidad_Proy!$K$20</f>
        <v>71.634699999999995</v>
      </c>
      <c r="F226" s="12">
        <f t="shared" si="12"/>
        <v>102027.870516</v>
      </c>
      <c r="G226" s="12">
        <f t="shared" si="13"/>
        <v>40400.129484000005</v>
      </c>
      <c r="H226" s="16">
        <f>E226-'Historico_GEIH_2007-2026'!$M$20</f>
        <v>-3.8653000000000048</v>
      </c>
      <c r="I226" s="17">
        <f t="shared" si="14"/>
        <v>70.365393356125125</v>
      </c>
      <c r="J226" s="17">
        <f t="shared" si="15"/>
        <v>42.115314404471036</v>
      </c>
    </row>
    <row r="227" spans="1:10" ht="15.75" customHeight="1" x14ac:dyDescent="0.25">
      <c r="A227" s="8" t="s">
        <v>54</v>
      </c>
      <c r="B227" s="13">
        <v>2035</v>
      </c>
      <c r="C227" s="15">
        <v>376922</v>
      </c>
      <c r="D227" s="15">
        <v>265120</v>
      </c>
      <c r="E227" s="14">
        <f>Tasas_Informalidad_Proy!$K$21</f>
        <v>65.272199999999998</v>
      </c>
      <c r="F227" s="15">
        <f t="shared" si="12"/>
        <v>173049.65664</v>
      </c>
      <c r="G227" s="15">
        <f t="shared" si="13"/>
        <v>92070.343359999999</v>
      </c>
      <c r="H227" s="18">
        <f>E227-'Historico_GEIH_2007-2026'!$M$21</f>
        <v>-3.727800000000002</v>
      </c>
      <c r="I227" s="19">
        <f t="shared" si="14"/>
        <v>70.338160149845336</v>
      </c>
      <c r="J227" s="19">
        <f t="shared" si="15"/>
        <v>42.170337960168979</v>
      </c>
    </row>
    <row r="228" spans="1:10" ht="15.75" customHeight="1" x14ac:dyDescent="0.25">
      <c r="A228" s="6" t="s">
        <v>55</v>
      </c>
      <c r="B228" s="10">
        <v>2035</v>
      </c>
      <c r="C228" s="12">
        <v>738417</v>
      </c>
      <c r="D228" s="12">
        <v>517146</v>
      </c>
      <c r="E228" s="11">
        <f>Tasas_Informalidad_Proy!$K$22</f>
        <v>63.748199999999997</v>
      </c>
      <c r="F228" s="12">
        <f t="shared" si="12"/>
        <v>329671.26637199998</v>
      </c>
      <c r="G228" s="12">
        <f t="shared" si="13"/>
        <v>187474.73362800002</v>
      </c>
      <c r="H228" s="16">
        <f>E228-'Historico_GEIH_2007-2026'!$M$22</f>
        <v>-3.8517999999999972</v>
      </c>
      <c r="I228" s="17">
        <f t="shared" si="14"/>
        <v>70.034411450440601</v>
      </c>
      <c r="J228" s="17">
        <f t="shared" si="15"/>
        <v>42.786949913564058</v>
      </c>
    </row>
    <row r="229" spans="1:10" ht="15.75" customHeight="1" x14ac:dyDescent="0.25">
      <c r="A229" s="8" t="s">
        <v>56</v>
      </c>
      <c r="B229" s="13">
        <v>2035</v>
      </c>
      <c r="C229" s="15">
        <v>154082</v>
      </c>
      <c r="D229" s="15">
        <v>107012</v>
      </c>
      <c r="E229" s="14">
        <f>Tasas_Informalidad_Proy!$K$23</f>
        <v>74.650499999999994</v>
      </c>
      <c r="F229" s="15">
        <f t="shared" si="12"/>
        <v>79884.993059999993</v>
      </c>
      <c r="G229" s="15">
        <f t="shared" si="13"/>
        <v>27127.006940000003</v>
      </c>
      <c r="H229" s="18">
        <f>E229-'Historico_GEIH_2007-2026'!$M$23</f>
        <v>-3.8495000000000061</v>
      </c>
      <c r="I229" s="19">
        <f t="shared" si="14"/>
        <v>69.451331109409281</v>
      </c>
      <c r="J229" s="19">
        <f t="shared" si="15"/>
        <v>43.985721227525886</v>
      </c>
    </row>
    <row r="230" spans="1:10" ht="15.75" customHeight="1" x14ac:dyDescent="0.25">
      <c r="A230" s="6" t="s">
        <v>57</v>
      </c>
      <c r="B230" s="10">
        <v>2035</v>
      </c>
      <c r="C230" s="12">
        <v>451392</v>
      </c>
      <c r="D230" s="12">
        <v>312035</v>
      </c>
      <c r="E230" s="11">
        <f>Tasas_Informalidad_Proy!$K$24</f>
        <v>61.194800000000001</v>
      </c>
      <c r="F230" s="12">
        <f t="shared" si="12"/>
        <v>190949.19418000002</v>
      </c>
      <c r="G230" s="12">
        <f t="shared" si="13"/>
        <v>121085.80581999998</v>
      </c>
      <c r="H230" s="16">
        <f>E230-'Historico_GEIH_2007-2026'!$M$24</f>
        <v>-3.8051999999999992</v>
      </c>
      <c r="I230" s="17">
        <f t="shared" si="14"/>
        <v>69.127277399688083</v>
      </c>
      <c r="J230" s="17">
        <f t="shared" si="15"/>
        <v>44.660695114330125</v>
      </c>
    </row>
    <row r="231" spans="1:10" ht="15.75" customHeight="1" x14ac:dyDescent="0.25">
      <c r="A231" s="8" t="s">
        <v>58</v>
      </c>
      <c r="B231" s="13">
        <v>2035</v>
      </c>
      <c r="C231" s="15">
        <v>214272</v>
      </c>
      <c r="D231" s="15">
        <v>147473</v>
      </c>
      <c r="E231" s="14">
        <f>Tasas_Informalidad_Proy!$K$25</f>
        <v>69.4285</v>
      </c>
      <c r="F231" s="15">
        <f t="shared" si="12"/>
        <v>102388.291805</v>
      </c>
      <c r="G231" s="15">
        <f t="shared" si="13"/>
        <v>45084.708194999992</v>
      </c>
      <c r="H231" s="18">
        <f>E231-'Historico_GEIH_2007-2026'!$M$25</f>
        <v>-3.8714999999999975</v>
      </c>
      <c r="I231" s="19">
        <f t="shared" si="14"/>
        <v>68.825138142174438</v>
      </c>
      <c r="J231" s="19">
        <f t="shared" si="15"/>
        <v>45.295749052368905</v>
      </c>
    </row>
    <row r="232" spans="1:10" ht="15.75" customHeight="1" x14ac:dyDescent="0.25">
      <c r="A232" s="6" t="s">
        <v>59</v>
      </c>
      <c r="B232" s="10">
        <v>2035</v>
      </c>
      <c r="C232" s="12">
        <v>628324</v>
      </c>
      <c r="D232" s="12">
        <v>445975</v>
      </c>
      <c r="E232" s="11">
        <f>Tasas_Informalidad_Proy!$K$26</f>
        <v>54.885899999999999</v>
      </c>
      <c r="F232" s="12">
        <f t="shared" si="12"/>
        <v>244777.392525</v>
      </c>
      <c r="G232" s="12">
        <f t="shared" si="13"/>
        <v>201197.607475</v>
      </c>
      <c r="H232" s="16">
        <f>E232-'Historico_GEIH_2007-2026'!$M$26</f>
        <v>-3.8141000000000034</v>
      </c>
      <c r="I232" s="17">
        <f t="shared" si="14"/>
        <v>70.978507903565685</v>
      </c>
      <c r="J232" s="17">
        <f t="shared" si="15"/>
        <v>40.887717921408154</v>
      </c>
    </row>
    <row r="233" spans="1:10" ht="15.75" customHeight="1" x14ac:dyDescent="0.25">
      <c r="A233" s="8" t="s">
        <v>60</v>
      </c>
      <c r="B233" s="13">
        <v>2035</v>
      </c>
      <c r="C233" s="15">
        <v>305744</v>
      </c>
      <c r="D233" s="15">
        <v>204359</v>
      </c>
      <c r="E233" s="14">
        <f>Tasas_Informalidad_Proy!$K$27</f>
        <v>51.067799999999998</v>
      </c>
      <c r="F233" s="15">
        <f t="shared" si="12"/>
        <v>104361.64540199999</v>
      </c>
      <c r="G233" s="15">
        <f t="shared" si="13"/>
        <v>99997.354598000005</v>
      </c>
      <c r="H233" s="18">
        <f>E233-'Historico_GEIH_2007-2026'!$M$27</f>
        <v>-3.9322000000000017</v>
      </c>
      <c r="I233" s="19">
        <f t="shared" si="14"/>
        <v>66.839905280234447</v>
      </c>
      <c r="J233" s="19">
        <f t="shared" si="15"/>
        <v>49.611223386295684</v>
      </c>
    </row>
    <row r="234" spans="1:10" ht="15.75" customHeight="1" x14ac:dyDescent="0.25">
      <c r="A234" s="6" t="s">
        <v>61</v>
      </c>
      <c r="B234" s="10">
        <v>2035</v>
      </c>
      <c r="C234" s="12">
        <v>371683</v>
      </c>
      <c r="D234" s="12">
        <v>255962</v>
      </c>
      <c r="E234" s="11">
        <f>Tasas_Informalidad_Proy!$K$28</f>
        <v>64.404499999999999</v>
      </c>
      <c r="F234" s="12">
        <f t="shared" si="12"/>
        <v>164851.04629</v>
      </c>
      <c r="G234" s="12">
        <f t="shared" si="13"/>
        <v>91110.953710000002</v>
      </c>
      <c r="H234" s="16">
        <f>E234-'Historico_GEIH_2007-2026'!$M$28</f>
        <v>-3.8954999999999984</v>
      </c>
      <c r="I234" s="17">
        <f t="shared" si="14"/>
        <v>68.865673167726257</v>
      </c>
      <c r="J234" s="17">
        <f t="shared" si="15"/>
        <v>45.210226517998763</v>
      </c>
    </row>
    <row r="235" spans="1:10" ht="15.75" customHeight="1" x14ac:dyDescent="0.25">
      <c r="A235" s="6" t="s">
        <v>39</v>
      </c>
      <c r="B235" s="10">
        <v>2036</v>
      </c>
      <c r="C235" s="12">
        <v>7785579</v>
      </c>
      <c r="D235" s="12">
        <v>5512517</v>
      </c>
      <c r="E235" s="11">
        <f>Tasas_Informalidad_Proy!$L$6</f>
        <v>38.282699999999998</v>
      </c>
      <c r="F235" s="12">
        <f t="shared" si="12"/>
        <v>2110340.3455589996</v>
      </c>
      <c r="G235" s="12">
        <f t="shared" si="13"/>
        <v>3402176.654441</v>
      </c>
      <c r="H235" s="16">
        <f>E235-'Historico_GEIH_2007-2026'!$M$6</f>
        <v>-4.317300000000003</v>
      </c>
      <c r="I235" s="17">
        <f t="shared" si="14"/>
        <v>70.804200946390765</v>
      </c>
      <c r="J235" s="17">
        <f t="shared" si="15"/>
        <v>41.23455764399457</v>
      </c>
    </row>
    <row r="236" spans="1:10" ht="15.75" customHeight="1" x14ac:dyDescent="0.25">
      <c r="A236" s="8" t="s">
        <v>40</v>
      </c>
      <c r="B236" s="13">
        <v>2036</v>
      </c>
      <c r="C236" s="15">
        <v>2462190</v>
      </c>
      <c r="D236" s="15">
        <v>1690373</v>
      </c>
      <c r="E236" s="14">
        <f>Tasas_Informalidad_Proy!$L$7</f>
        <v>37.751600000000003</v>
      </c>
      <c r="F236" s="15">
        <f t="shared" si="12"/>
        <v>638142.85346800007</v>
      </c>
      <c r="G236" s="15">
        <f t="shared" si="13"/>
        <v>1052230.146532</v>
      </c>
      <c r="H236" s="18">
        <f>E236-'Historico_GEIH_2007-2026'!$M$7</f>
        <v>-5.4483999999999995</v>
      </c>
      <c r="I236" s="19">
        <f t="shared" si="14"/>
        <v>68.653231472794545</v>
      </c>
      <c r="J236" s="19">
        <f t="shared" si="15"/>
        <v>45.659567444581754</v>
      </c>
    </row>
    <row r="237" spans="1:10" ht="15.75" customHeight="1" x14ac:dyDescent="0.25">
      <c r="A237" s="6" t="s">
        <v>41</v>
      </c>
      <c r="B237" s="10">
        <v>2036</v>
      </c>
      <c r="C237" s="12">
        <v>2164629</v>
      </c>
      <c r="D237" s="12">
        <v>1478141</v>
      </c>
      <c r="E237" s="11">
        <f>Tasas_Informalidad_Proy!$L$8</f>
        <v>45.135599999999997</v>
      </c>
      <c r="F237" s="12">
        <f t="shared" si="12"/>
        <v>667167.80919599999</v>
      </c>
      <c r="G237" s="12">
        <f t="shared" si="13"/>
        <v>810973.19080400001</v>
      </c>
      <c r="H237" s="16">
        <f>E237-'Historico_GEIH_2007-2026'!$M$8</f>
        <v>-5.1644000000000005</v>
      </c>
      <c r="I237" s="17">
        <f t="shared" si="14"/>
        <v>68.286112770363886</v>
      </c>
      <c r="J237" s="17">
        <f t="shared" si="15"/>
        <v>46.442660070994577</v>
      </c>
    </row>
    <row r="238" spans="1:10" ht="15.75" customHeight="1" x14ac:dyDescent="0.25">
      <c r="A238" s="8" t="s">
        <v>42</v>
      </c>
      <c r="B238" s="13">
        <v>2036</v>
      </c>
      <c r="C238" s="15">
        <v>1215384</v>
      </c>
      <c r="D238" s="15">
        <v>828919</v>
      </c>
      <c r="E238" s="14">
        <f>Tasas_Informalidad_Proy!$L$9</f>
        <v>51.979100000000003</v>
      </c>
      <c r="F238" s="15">
        <f t="shared" si="12"/>
        <v>430864.63592899998</v>
      </c>
      <c r="G238" s="15">
        <f t="shared" si="13"/>
        <v>398054.36407100002</v>
      </c>
      <c r="H238" s="18">
        <f>E238-'Historico_GEIH_2007-2026'!$M$9</f>
        <v>-4.2209000000000003</v>
      </c>
      <c r="I238" s="19">
        <f t="shared" si="14"/>
        <v>68.202230735306699</v>
      </c>
      <c r="J238" s="19">
        <f t="shared" si="15"/>
        <v>46.622770137974875</v>
      </c>
    </row>
    <row r="239" spans="1:10" ht="15.75" customHeight="1" x14ac:dyDescent="0.25">
      <c r="A239" s="6" t="s">
        <v>43</v>
      </c>
      <c r="B239" s="10">
        <v>2036</v>
      </c>
      <c r="C239" s="12">
        <v>617711</v>
      </c>
      <c r="D239" s="12">
        <v>418410</v>
      </c>
      <c r="E239" s="11">
        <f>Tasas_Informalidad_Proy!$L$10</f>
        <v>57.092599999999997</v>
      </c>
      <c r="F239" s="12">
        <f t="shared" si="12"/>
        <v>238881.14765999999</v>
      </c>
      <c r="G239" s="12">
        <f t="shared" si="13"/>
        <v>179528.85234000004</v>
      </c>
      <c r="H239" s="16">
        <f>E239-'Historico_GEIH_2007-2026'!$M$10</f>
        <v>-5.3074000000000012</v>
      </c>
      <c r="I239" s="17">
        <f t="shared" si="14"/>
        <v>67.73555918544433</v>
      </c>
      <c r="J239" s="17">
        <f t="shared" si="15"/>
        <v>47.632943763294378</v>
      </c>
    </row>
    <row r="240" spans="1:10" ht="15.75" customHeight="1" x14ac:dyDescent="0.25">
      <c r="A240" s="8" t="s">
        <v>44</v>
      </c>
      <c r="B240" s="13">
        <v>2036</v>
      </c>
      <c r="C240" s="15">
        <v>502110</v>
      </c>
      <c r="D240" s="15">
        <v>341517</v>
      </c>
      <c r="E240" s="14">
        <f>Tasas_Informalidad_Proy!$L$11</f>
        <v>45.031100000000002</v>
      </c>
      <c r="F240" s="15">
        <f t="shared" si="12"/>
        <v>153788.861787</v>
      </c>
      <c r="G240" s="15">
        <f t="shared" si="13"/>
        <v>187728.138213</v>
      </c>
      <c r="H240" s="18">
        <f>E240-'Historico_GEIH_2007-2026'!$M$11</f>
        <v>-4.8688999999999965</v>
      </c>
      <c r="I240" s="19">
        <f t="shared" si="14"/>
        <v>68.016370914739795</v>
      </c>
      <c r="J240" s="19">
        <f t="shared" si="15"/>
        <v>47.023427823505124</v>
      </c>
    </row>
    <row r="241" spans="1:10" ht="15.75" customHeight="1" x14ac:dyDescent="0.25">
      <c r="A241" s="6" t="s">
        <v>45</v>
      </c>
      <c r="B241" s="10">
        <v>2036</v>
      </c>
      <c r="C241" s="12">
        <v>404019</v>
      </c>
      <c r="D241" s="12">
        <v>289993</v>
      </c>
      <c r="E241" s="11">
        <f>Tasas_Informalidad_Proy!$L$12</f>
        <v>65.003799999999998</v>
      </c>
      <c r="F241" s="12">
        <f t="shared" si="12"/>
        <v>188506.46973400001</v>
      </c>
      <c r="G241" s="12">
        <f t="shared" si="13"/>
        <v>101486.530266</v>
      </c>
      <c r="H241" s="16">
        <f>E241-'Historico_GEIH_2007-2026'!$M$12</f>
        <v>-3.8962000000000074</v>
      </c>
      <c r="I241" s="17">
        <f t="shared" si="14"/>
        <v>71.777069890277431</v>
      </c>
      <c r="J241" s="17">
        <f t="shared" si="15"/>
        <v>39.320259454538558</v>
      </c>
    </row>
    <row r="242" spans="1:10" ht="15.75" customHeight="1" x14ac:dyDescent="0.25">
      <c r="A242" s="8" t="s">
        <v>46</v>
      </c>
      <c r="B242" s="13">
        <v>2036</v>
      </c>
      <c r="C242" s="15">
        <v>480756</v>
      </c>
      <c r="D242" s="15">
        <v>323415</v>
      </c>
      <c r="E242" s="14">
        <f>Tasas_Informalidad_Proy!$L$13</f>
        <v>53.129899999999999</v>
      </c>
      <c r="F242" s="15">
        <f t="shared" si="12"/>
        <v>171830.066085</v>
      </c>
      <c r="G242" s="15">
        <f t="shared" si="13"/>
        <v>151584.933915</v>
      </c>
      <c r="H242" s="18">
        <f>E242-'Historico_GEIH_2007-2026'!$M$13</f>
        <v>-4.3701000000000008</v>
      </c>
      <c r="I242" s="19">
        <f t="shared" si="14"/>
        <v>67.272171330155004</v>
      </c>
      <c r="J242" s="19">
        <f t="shared" si="15"/>
        <v>48.649877092899217</v>
      </c>
    </row>
    <row r="243" spans="1:10" ht="15.75" customHeight="1" x14ac:dyDescent="0.25">
      <c r="A243" s="6" t="s">
        <v>47</v>
      </c>
      <c r="B243" s="10">
        <v>2036</v>
      </c>
      <c r="C243" s="12">
        <v>768651</v>
      </c>
      <c r="D243" s="12">
        <v>540053</v>
      </c>
      <c r="E243" s="11">
        <f>Tasas_Informalidad_Proy!$L$14</f>
        <v>65.222499999999997</v>
      </c>
      <c r="F243" s="12">
        <f t="shared" si="12"/>
        <v>352236.06792499998</v>
      </c>
      <c r="G243" s="12">
        <f t="shared" si="13"/>
        <v>187816.93207500002</v>
      </c>
      <c r="H243" s="16">
        <f>E243-'Historico_GEIH_2007-2026'!$M$14</f>
        <v>-5.0775000000000006</v>
      </c>
      <c r="I243" s="17">
        <f t="shared" si="14"/>
        <v>70.259844845059732</v>
      </c>
      <c r="J243" s="17">
        <f t="shared" si="15"/>
        <v>42.328808468798435</v>
      </c>
    </row>
    <row r="244" spans="1:10" ht="15.75" customHeight="1" x14ac:dyDescent="0.25">
      <c r="A244" s="8" t="s">
        <v>48</v>
      </c>
      <c r="B244" s="13">
        <v>2036</v>
      </c>
      <c r="C244" s="15">
        <v>572251</v>
      </c>
      <c r="D244" s="15">
        <v>388316</v>
      </c>
      <c r="E244" s="14">
        <f>Tasas_Informalidad_Proy!$L$15</f>
        <v>56.680900000000001</v>
      </c>
      <c r="F244" s="15">
        <f t="shared" si="12"/>
        <v>220101.00364399998</v>
      </c>
      <c r="G244" s="15">
        <f t="shared" si="13"/>
        <v>168214.99635599999</v>
      </c>
      <c r="H244" s="18">
        <f>E244-'Historico_GEIH_2007-2026'!$M$15</f>
        <v>-3.8190999999999988</v>
      </c>
      <c r="I244" s="19">
        <f t="shared" si="14"/>
        <v>67.857635897534479</v>
      </c>
      <c r="J244" s="19">
        <f t="shared" si="15"/>
        <v>47.36735030233109</v>
      </c>
    </row>
    <row r="245" spans="1:10" ht="15.75" customHeight="1" x14ac:dyDescent="0.25">
      <c r="A245" s="6" t="s">
        <v>49</v>
      </c>
      <c r="B245" s="10">
        <v>2036</v>
      </c>
      <c r="C245" s="12">
        <v>678918</v>
      </c>
      <c r="D245" s="12">
        <v>465656</v>
      </c>
      <c r="E245" s="11">
        <f>Tasas_Informalidad_Proy!$L$16</f>
        <v>69.964399999999998</v>
      </c>
      <c r="F245" s="12">
        <f t="shared" si="12"/>
        <v>325793.42646399996</v>
      </c>
      <c r="G245" s="12">
        <f t="shared" si="13"/>
        <v>139862.57353600004</v>
      </c>
      <c r="H245" s="16">
        <f>E245-'Historico_GEIH_2007-2026'!$M$16</f>
        <v>-4.435600000000008</v>
      </c>
      <c r="I245" s="17">
        <f t="shared" si="14"/>
        <v>68.587959076059263</v>
      </c>
      <c r="J245" s="17">
        <f t="shared" si="15"/>
        <v>45.798185785214834</v>
      </c>
    </row>
    <row r="246" spans="1:10" ht="15.75" customHeight="1" x14ac:dyDescent="0.25">
      <c r="A246" s="8" t="s">
        <v>50</v>
      </c>
      <c r="B246" s="13">
        <v>2036</v>
      </c>
      <c r="C246" s="15">
        <v>990960</v>
      </c>
      <c r="D246" s="15">
        <v>668403</v>
      </c>
      <c r="E246" s="14">
        <f>Tasas_Informalidad_Proy!$L$17</f>
        <v>52.024700000000003</v>
      </c>
      <c r="F246" s="15">
        <f t="shared" si="12"/>
        <v>347734.65554100001</v>
      </c>
      <c r="G246" s="15">
        <f t="shared" si="13"/>
        <v>320668.34445899999</v>
      </c>
      <c r="H246" s="18">
        <f>E246-'Historico_GEIH_2007-2026'!$M$17</f>
        <v>-4.0752999999999986</v>
      </c>
      <c r="I246" s="19">
        <f t="shared" si="14"/>
        <v>67.450048437878422</v>
      </c>
      <c r="J246" s="19">
        <f t="shared" si="15"/>
        <v>48.257862397386006</v>
      </c>
    </row>
    <row r="247" spans="1:10" ht="15.75" customHeight="1" x14ac:dyDescent="0.25">
      <c r="A247" s="6" t="s">
        <v>51</v>
      </c>
      <c r="B247" s="10">
        <v>2036</v>
      </c>
      <c r="C247" s="12">
        <v>622068</v>
      </c>
      <c r="D247" s="12">
        <v>436535</v>
      </c>
      <c r="E247" s="11">
        <f>Tasas_Informalidad_Proy!$L$18</f>
        <v>57.149299999999997</v>
      </c>
      <c r="F247" s="12">
        <f t="shared" si="12"/>
        <v>249476.69675499998</v>
      </c>
      <c r="G247" s="12">
        <f t="shared" si="13"/>
        <v>187058.30324500005</v>
      </c>
      <c r="H247" s="16">
        <f>E247-'Historico_GEIH_2007-2026'!$M$18</f>
        <v>-4.1507000000000005</v>
      </c>
      <c r="I247" s="17">
        <f t="shared" si="14"/>
        <v>70.174804040715813</v>
      </c>
      <c r="J247" s="17">
        <f t="shared" si="15"/>
        <v>42.501288556473135</v>
      </c>
    </row>
    <row r="248" spans="1:10" ht="15.75" customHeight="1" x14ac:dyDescent="0.25">
      <c r="A248" s="8" t="s">
        <v>52</v>
      </c>
      <c r="B248" s="13">
        <v>2036</v>
      </c>
      <c r="C248" s="15">
        <v>211415</v>
      </c>
      <c r="D248" s="15">
        <v>151573</v>
      </c>
      <c r="E248" s="14">
        <f>Tasas_Informalidad_Proy!$L$19</f>
        <v>57.1417</v>
      </c>
      <c r="F248" s="15">
        <f t="shared" si="12"/>
        <v>86611.388940999997</v>
      </c>
      <c r="G248" s="15">
        <f t="shared" si="13"/>
        <v>64961.61105900001</v>
      </c>
      <c r="H248" s="18">
        <f>E248-'Historico_GEIH_2007-2026'!$M$19</f>
        <v>-4.0583000000000027</v>
      </c>
      <c r="I248" s="19">
        <f t="shared" si="14"/>
        <v>71.694534446467856</v>
      </c>
      <c r="J248" s="19">
        <f t="shared" si="15"/>
        <v>39.480646289246771</v>
      </c>
    </row>
    <row r="249" spans="1:10" ht="15.75" customHeight="1" x14ac:dyDescent="0.25">
      <c r="A249" s="6" t="s">
        <v>53</v>
      </c>
      <c r="B249" s="10">
        <v>2036</v>
      </c>
      <c r="C249" s="12">
        <v>203421</v>
      </c>
      <c r="D249" s="12">
        <v>143509</v>
      </c>
      <c r="E249" s="11">
        <f>Tasas_Informalidad_Proy!$L$20</f>
        <v>71.3172</v>
      </c>
      <c r="F249" s="12">
        <f t="shared" si="12"/>
        <v>102346.600548</v>
      </c>
      <c r="G249" s="12">
        <f t="shared" si="13"/>
        <v>41162.399451999998</v>
      </c>
      <c r="H249" s="16">
        <f>E249-'Historico_GEIH_2007-2026'!$M$20</f>
        <v>-4.1828000000000003</v>
      </c>
      <c r="I249" s="17">
        <f t="shared" si="14"/>
        <v>70.547780219348056</v>
      </c>
      <c r="J249" s="17">
        <f t="shared" si="15"/>
        <v>41.747904312621507</v>
      </c>
    </row>
    <row r="250" spans="1:10" ht="15.75" customHeight="1" x14ac:dyDescent="0.25">
      <c r="A250" s="8" t="s">
        <v>54</v>
      </c>
      <c r="B250" s="13">
        <v>2036</v>
      </c>
      <c r="C250" s="15">
        <v>378550</v>
      </c>
      <c r="D250" s="15">
        <v>266460</v>
      </c>
      <c r="E250" s="14">
        <f>Tasas_Informalidad_Proy!$L$21</f>
        <v>64.967399999999998</v>
      </c>
      <c r="F250" s="15">
        <f t="shared" si="12"/>
        <v>173112.13404</v>
      </c>
      <c r="G250" s="15">
        <f t="shared" si="13"/>
        <v>93347.86596000001</v>
      </c>
      <c r="H250" s="18">
        <f>E250-'Historico_GEIH_2007-2026'!$M$21</f>
        <v>-4.0326000000000022</v>
      </c>
      <c r="I250" s="19">
        <f t="shared" si="14"/>
        <v>70.389644696869638</v>
      </c>
      <c r="J250" s="19">
        <f t="shared" si="15"/>
        <v>42.066351422352319</v>
      </c>
    </row>
    <row r="251" spans="1:10" ht="15.75" customHeight="1" x14ac:dyDescent="0.25">
      <c r="A251" s="6" t="s">
        <v>55</v>
      </c>
      <c r="B251" s="10">
        <v>2036</v>
      </c>
      <c r="C251" s="12">
        <v>749680</v>
      </c>
      <c r="D251" s="12">
        <v>527126</v>
      </c>
      <c r="E251" s="11">
        <f>Tasas_Informalidad_Proy!$L$22</f>
        <v>63.437100000000001</v>
      </c>
      <c r="F251" s="12">
        <f t="shared" si="12"/>
        <v>334393.44774600002</v>
      </c>
      <c r="G251" s="12">
        <f t="shared" si="13"/>
        <v>192732.55225399998</v>
      </c>
      <c r="H251" s="16">
        <f>E251-'Historico_GEIH_2007-2026'!$M$22</f>
        <v>-4.1628999999999934</v>
      </c>
      <c r="I251" s="17">
        <f t="shared" si="14"/>
        <v>70.313467079287165</v>
      </c>
      <c r="J251" s="17">
        <f t="shared" si="15"/>
        <v>42.220266122331282</v>
      </c>
    </row>
    <row r="252" spans="1:10" ht="15.75" customHeight="1" x14ac:dyDescent="0.25">
      <c r="A252" s="8" t="s">
        <v>56</v>
      </c>
      <c r="B252" s="13">
        <v>2036</v>
      </c>
      <c r="C252" s="15">
        <v>154929</v>
      </c>
      <c r="D252" s="15">
        <v>108093</v>
      </c>
      <c r="E252" s="14">
        <f>Tasas_Informalidad_Proy!$L$23</f>
        <v>74.332999999999998</v>
      </c>
      <c r="F252" s="15">
        <f t="shared" si="12"/>
        <v>80348.769690000001</v>
      </c>
      <c r="G252" s="15">
        <f t="shared" si="13"/>
        <v>27744.230310000006</v>
      </c>
      <c r="H252" s="18">
        <f>E252-'Historico_GEIH_2007-2026'!$M$23</f>
        <v>-4.1670000000000016</v>
      </c>
      <c r="I252" s="19">
        <f t="shared" si="14"/>
        <v>69.769378231318854</v>
      </c>
      <c r="J252" s="19">
        <f t="shared" si="15"/>
        <v>43.329355277400019</v>
      </c>
    </row>
    <row r="253" spans="1:10" ht="15.75" customHeight="1" x14ac:dyDescent="0.25">
      <c r="A253" s="6" t="s">
        <v>57</v>
      </c>
      <c r="B253" s="10">
        <v>2036</v>
      </c>
      <c r="C253" s="12">
        <v>455145</v>
      </c>
      <c r="D253" s="12">
        <v>315542</v>
      </c>
      <c r="E253" s="11">
        <f>Tasas_Informalidad_Proy!$L$24</f>
        <v>60.889200000000002</v>
      </c>
      <c r="F253" s="12">
        <f t="shared" si="12"/>
        <v>192130.99946400002</v>
      </c>
      <c r="G253" s="12">
        <f t="shared" si="13"/>
        <v>123411.00053600001</v>
      </c>
      <c r="H253" s="16">
        <f>E253-'Historico_GEIH_2007-2026'!$M$24</f>
        <v>-4.1107999999999976</v>
      </c>
      <c r="I253" s="17">
        <f t="shared" si="14"/>
        <v>69.327796636236798</v>
      </c>
      <c r="J253" s="17">
        <f t="shared" si="15"/>
        <v>44.242287872929751</v>
      </c>
    </row>
    <row r="254" spans="1:10" ht="15.75" customHeight="1" x14ac:dyDescent="0.25">
      <c r="A254" s="8" t="s">
        <v>58</v>
      </c>
      <c r="B254" s="13">
        <v>2036</v>
      </c>
      <c r="C254" s="15">
        <v>214039</v>
      </c>
      <c r="D254" s="15">
        <v>148030</v>
      </c>
      <c r="E254" s="14">
        <f>Tasas_Informalidad_Proy!$L$25</f>
        <v>69.115200000000002</v>
      </c>
      <c r="F254" s="15">
        <f t="shared" si="12"/>
        <v>102311.23056</v>
      </c>
      <c r="G254" s="15">
        <f t="shared" si="13"/>
        <v>45718.769440000004</v>
      </c>
      <c r="H254" s="18">
        <f>E254-'Historico_GEIH_2007-2026'!$M$25</f>
        <v>-4.1847999999999956</v>
      </c>
      <c r="I254" s="19">
        <f t="shared" si="14"/>
        <v>69.160293217591189</v>
      </c>
      <c r="J254" s="19">
        <f t="shared" si="15"/>
        <v>44.591636830372224</v>
      </c>
    </row>
    <row r="255" spans="1:10" ht="15.75" customHeight="1" x14ac:dyDescent="0.25">
      <c r="A255" s="6" t="s">
        <v>59</v>
      </c>
      <c r="B255" s="10">
        <v>2036</v>
      </c>
      <c r="C255" s="12">
        <v>631219</v>
      </c>
      <c r="D255" s="12">
        <v>449531</v>
      </c>
      <c r="E255" s="11">
        <f>Tasas_Informalidad_Proy!$L$26</f>
        <v>54.581600000000002</v>
      </c>
      <c r="F255" s="12">
        <f t="shared" si="12"/>
        <v>245361.21229600001</v>
      </c>
      <c r="G255" s="12">
        <f t="shared" si="13"/>
        <v>204169.78770400002</v>
      </c>
      <c r="H255" s="16">
        <f>E255-'Historico_GEIH_2007-2026'!$M$26</f>
        <v>-4.1184000000000012</v>
      </c>
      <c r="I255" s="17">
        <f t="shared" si="14"/>
        <v>71.216329039525107</v>
      </c>
      <c r="J255" s="17">
        <f t="shared" si="15"/>
        <v>40.417234851434053</v>
      </c>
    </row>
    <row r="256" spans="1:10" ht="15.75" customHeight="1" x14ac:dyDescent="0.25">
      <c r="A256" s="8" t="s">
        <v>60</v>
      </c>
      <c r="B256" s="13">
        <v>2036</v>
      </c>
      <c r="C256" s="15">
        <v>304997</v>
      </c>
      <c r="D256" s="15">
        <v>203770</v>
      </c>
      <c r="E256" s="14">
        <f>Tasas_Informalidad_Proy!$L$27</f>
        <v>50.761600000000001</v>
      </c>
      <c r="F256" s="15">
        <f t="shared" si="12"/>
        <v>103436.91232</v>
      </c>
      <c r="G256" s="15">
        <f t="shared" si="13"/>
        <v>100333.08767999998</v>
      </c>
      <c r="H256" s="18">
        <f>E256-'Historico_GEIH_2007-2026'!$M$27</f>
        <v>-4.2383999999999986</v>
      </c>
      <c r="I256" s="19">
        <f t="shared" si="14"/>
        <v>66.810493217966084</v>
      </c>
      <c r="J256" s="19">
        <f t="shared" si="15"/>
        <v>49.677086911714184</v>
      </c>
    </row>
    <row r="257" spans="1:10" ht="15.75" customHeight="1" x14ac:dyDescent="0.25">
      <c r="A257" s="6" t="s">
        <v>61</v>
      </c>
      <c r="B257" s="10">
        <v>2036</v>
      </c>
      <c r="C257" s="12">
        <v>375316</v>
      </c>
      <c r="D257" s="12">
        <v>259186</v>
      </c>
      <c r="E257" s="11">
        <f>Tasas_Informalidad_Proy!$L$28</f>
        <v>64.0916</v>
      </c>
      <c r="F257" s="12">
        <f t="shared" si="12"/>
        <v>166116.45437600001</v>
      </c>
      <c r="G257" s="12">
        <f t="shared" si="13"/>
        <v>93069.545623999991</v>
      </c>
      <c r="H257" s="16">
        <f>E257-'Historico_GEIH_2007-2026'!$M$28</f>
        <v>-4.2083999999999975</v>
      </c>
      <c r="I257" s="17">
        <f t="shared" si="14"/>
        <v>69.058073729870301</v>
      </c>
      <c r="J257" s="17">
        <f t="shared" si="15"/>
        <v>44.805660799580224</v>
      </c>
    </row>
    <row r="258" spans="1:10" ht="15.75" customHeight="1" x14ac:dyDescent="0.25">
      <c r="A258" s="6" t="s">
        <v>39</v>
      </c>
      <c r="B258" s="10">
        <v>2037</v>
      </c>
      <c r="C258" s="12">
        <v>7754041</v>
      </c>
      <c r="D258" s="12">
        <v>5481724</v>
      </c>
      <c r="E258" s="11">
        <f>Tasas_Informalidad_Proy!$M$6</f>
        <v>37.9848</v>
      </c>
      <c r="F258" s="12">
        <f t="shared" si="12"/>
        <v>2082221.8979519999</v>
      </c>
      <c r="G258" s="12">
        <f t="shared" si="13"/>
        <v>3399502.1020480003</v>
      </c>
      <c r="H258" s="16">
        <f>E258-'Historico_GEIH_2007-2026'!$M$6</f>
        <v>-4.6152000000000015</v>
      </c>
      <c r="I258" s="17">
        <f t="shared" si="14"/>
        <v>70.695060807648559</v>
      </c>
      <c r="J258" s="17">
        <f t="shared" si="15"/>
        <v>41.452597759391026</v>
      </c>
    </row>
    <row r="259" spans="1:10" ht="15.75" customHeight="1" x14ac:dyDescent="0.25">
      <c r="A259" s="8" t="s">
        <v>40</v>
      </c>
      <c r="B259" s="13">
        <v>2037</v>
      </c>
      <c r="C259" s="15">
        <v>2451127</v>
      </c>
      <c r="D259" s="15">
        <v>1680884</v>
      </c>
      <c r="E259" s="14">
        <f>Tasas_Informalidad_Proy!$M$7</f>
        <v>37.380499999999998</v>
      </c>
      <c r="F259" s="15">
        <f t="shared" si="12"/>
        <v>628322.84361999994</v>
      </c>
      <c r="G259" s="15">
        <f t="shared" si="13"/>
        <v>1052561.1563800001</v>
      </c>
      <c r="H259" s="18">
        <f>E259-'Historico_GEIH_2007-2026'!$M$7</f>
        <v>-5.819500000000005</v>
      </c>
      <c r="I259" s="19">
        <f t="shared" si="14"/>
        <v>68.575965260062006</v>
      </c>
      <c r="J259" s="19">
        <f t="shared" si="15"/>
        <v>45.823685632084072</v>
      </c>
    </row>
    <row r="260" spans="1:10" ht="15.75" customHeight="1" x14ac:dyDescent="0.25">
      <c r="A260" s="6" t="s">
        <v>41</v>
      </c>
      <c r="B260" s="10">
        <v>2037</v>
      </c>
      <c r="C260" s="12">
        <v>2151363</v>
      </c>
      <c r="D260" s="12">
        <v>1467069</v>
      </c>
      <c r="E260" s="11">
        <f>Tasas_Informalidad_Proy!$M$8</f>
        <v>44.783499999999997</v>
      </c>
      <c r="F260" s="12">
        <f t="shared" si="12"/>
        <v>657004.845615</v>
      </c>
      <c r="G260" s="12">
        <f t="shared" si="13"/>
        <v>810064.154385</v>
      </c>
      <c r="H260" s="16">
        <f>E260-'Historico_GEIH_2007-2026'!$M$8</f>
        <v>-5.5165000000000006</v>
      </c>
      <c r="I260" s="17">
        <f t="shared" si="14"/>
        <v>68.192536545436539</v>
      </c>
      <c r="J260" s="17">
        <f t="shared" si="15"/>
        <v>46.643613899550736</v>
      </c>
    </row>
    <row r="261" spans="1:10" ht="15.75" customHeight="1" x14ac:dyDescent="0.25">
      <c r="A261" s="8" t="s">
        <v>42</v>
      </c>
      <c r="B261" s="13">
        <v>2037</v>
      </c>
      <c r="C261" s="15">
        <v>1211795</v>
      </c>
      <c r="D261" s="15">
        <v>826871</v>
      </c>
      <c r="E261" s="14">
        <f>Tasas_Informalidad_Proy!$M$9</f>
        <v>51.6693</v>
      </c>
      <c r="F261" s="15">
        <f t="shared" ref="F261:F324" si="16">D261*E261/100</f>
        <v>427238.45760300005</v>
      </c>
      <c r="G261" s="15">
        <f t="shared" ref="G261:G324" si="17">D261*(1-E261/100)</f>
        <v>399632.54239700001</v>
      </c>
      <c r="H261" s="18">
        <f>E261-'Historico_GEIH_2007-2026'!$M$9</f>
        <v>-4.5307000000000031</v>
      </c>
      <c r="I261" s="19">
        <f t="shared" ref="I261:I324" si="18">IF(C261&gt;0,D261/C261*100,"")</f>
        <v>68.235221303933429</v>
      </c>
      <c r="J261" s="19">
        <f t="shared" ref="J261:J324" si="19">IF(D261&gt;0,(C261-D261)/D261*100,"")</f>
        <v>46.551880523080385</v>
      </c>
    </row>
    <row r="262" spans="1:10" ht="15.75" customHeight="1" x14ac:dyDescent="0.25">
      <c r="A262" s="6" t="s">
        <v>43</v>
      </c>
      <c r="B262" s="10">
        <v>2037</v>
      </c>
      <c r="C262" s="12">
        <v>616912</v>
      </c>
      <c r="D262" s="12">
        <v>417285</v>
      </c>
      <c r="E262" s="11">
        <f>Tasas_Informalidad_Proy!$M$10</f>
        <v>56.713099999999997</v>
      </c>
      <c r="F262" s="12">
        <f t="shared" si="16"/>
        <v>236655.25933499998</v>
      </c>
      <c r="G262" s="12">
        <f t="shared" si="17"/>
        <v>180629.74066500002</v>
      </c>
      <c r="H262" s="16">
        <f>E262-'Historico_GEIH_2007-2026'!$M$10</f>
        <v>-5.6869000000000014</v>
      </c>
      <c r="I262" s="17">
        <f t="shared" si="18"/>
        <v>67.64092771740539</v>
      </c>
      <c r="J262" s="17">
        <f t="shared" si="19"/>
        <v>47.839486202475527</v>
      </c>
    </row>
    <row r="263" spans="1:10" ht="15.75" customHeight="1" x14ac:dyDescent="0.25">
      <c r="A263" s="8" t="s">
        <v>44</v>
      </c>
      <c r="B263" s="13">
        <v>2037</v>
      </c>
      <c r="C263" s="15">
        <v>503647</v>
      </c>
      <c r="D263" s="15">
        <v>342515</v>
      </c>
      <c r="E263" s="14">
        <f>Tasas_Informalidad_Proy!$M$11</f>
        <v>44.689300000000003</v>
      </c>
      <c r="F263" s="15">
        <f t="shared" si="16"/>
        <v>153067.555895</v>
      </c>
      <c r="G263" s="15">
        <f t="shared" si="17"/>
        <v>189447.444105</v>
      </c>
      <c r="H263" s="18">
        <f>E263-'Historico_GEIH_2007-2026'!$M$11</f>
        <v>-5.2106999999999957</v>
      </c>
      <c r="I263" s="19">
        <f t="shared" si="18"/>
        <v>68.006957253790844</v>
      </c>
      <c r="J263" s="19">
        <f t="shared" si="19"/>
        <v>47.043779104564763</v>
      </c>
    </row>
    <row r="264" spans="1:10" ht="15.75" customHeight="1" x14ac:dyDescent="0.25">
      <c r="A264" s="6" t="s">
        <v>45</v>
      </c>
      <c r="B264" s="10">
        <v>2037</v>
      </c>
      <c r="C264" s="12">
        <v>403233</v>
      </c>
      <c r="D264" s="12">
        <v>289495</v>
      </c>
      <c r="E264" s="11">
        <f>Tasas_Informalidad_Proy!$M$12</f>
        <v>64.723399999999998</v>
      </c>
      <c r="F264" s="12">
        <f t="shared" si="16"/>
        <v>187371.00682999997</v>
      </c>
      <c r="G264" s="12">
        <f t="shared" si="17"/>
        <v>102123.99317</v>
      </c>
      <c r="H264" s="16">
        <f>E264-'Historico_GEIH_2007-2026'!$M$12</f>
        <v>-4.1766000000000076</v>
      </c>
      <c r="I264" s="17">
        <f t="shared" si="18"/>
        <v>71.793479204330993</v>
      </c>
      <c r="J264" s="17">
        <f t="shared" si="19"/>
        <v>39.288416034819257</v>
      </c>
    </row>
    <row r="265" spans="1:10" ht="15.75" customHeight="1" x14ac:dyDescent="0.25">
      <c r="A265" s="8" t="s">
        <v>46</v>
      </c>
      <c r="B265" s="13">
        <v>2037</v>
      </c>
      <c r="C265" s="15">
        <v>478873</v>
      </c>
      <c r="D265" s="15">
        <v>322197</v>
      </c>
      <c r="E265" s="14">
        <f>Tasas_Informalidad_Proy!$M$13</f>
        <v>52.803600000000003</v>
      </c>
      <c r="F265" s="15">
        <f t="shared" si="16"/>
        <v>170131.61509199999</v>
      </c>
      <c r="G265" s="15">
        <f t="shared" si="17"/>
        <v>152065.38490799998</v>
      </c>
      <c r="H265" s="18">
        <f>E265-'Historico_GEIH_2007-2026'!$M$13</f>
        <v>-4.696399999999997</v>
      </c>
      <c r="I265" s="19">
        <f t="shared" si="18"/>
        <v>67.282348347056526</v>
      </c>
      <c r="J265" s="19">
        <f t="shared" si="19"/>
        <v>48.627392557969188</v>
      </c>
    </row>
    <row r="266" spans="1:10" ht="15.75" customHeight="1" x14ac:dyDescent="0.25">
      <c r="A266" s="6" t="s">
        <v>47</v>
      </c>
      <c r="B266" s="10">
        <v>2037</v>
      </c>
      <c r="C266" s="12">
        <v>766019</v>
      </c>
      <c r="D266" s="12">
        <v>538238</v>
      </c>
      <c r="E266" s="11">
        <f>Tasas_Informalidad_Proy!$M$14</f>
        <v>64.852900000000005</v>
      </c>
      <c r="F266" s="12">
        <f t="shared" si="16"/>
        <v>349062.951902</v>
      </c>
      <c r="G266" s="12">
        <f t="shared" si="17"/>
        <v>189175.048098</v>
      </c>
      <c r="H266" s="16">
        <f>E266-'Historico_GEIH_2007-2026'!$M$14</f>
        <v>-5.4470999999999918</v>
      </c>
      <c r="I266" s="17">
        <f t="shared" si="18"/>
        <v>70.264314592718975</v>
      </c>
      <c r="J266" s="17">
        <f t="shared" si="19"/>
        <v>42.31975445806502</v>
      </c>
    </row>
    <row r="267" spans="1:10" ht="15.75" customHeight="1" x14ac:dyDescent="0.25">
      <c r="A267" s="8" t="s">
        <v>48</v>
      </c>
      <c r="B267" s="13">
        <v>2037</v>
      </c>
      <c r="C267" s="15">
        <v>572737</v>
      </c>
      <c r="D267" s="15">
        <v>389084</v>
      </c>
      <c r="E267" s="14">
        <f>Tasas_Informalidad_Proy!$M$15</f>
        <v>56.382599999999996</v>
      </c>
      <c r="F267" s="15">
        <f t="shared" si="16"/>
        <v>219375.67538399997</v>
      </c>
      <c r="G267" s="15">
        <f t="shared" si="17"/>
        <v>169708.32461600003</v>
      </c>
      <c r="H267" s="18">
        <f>E267-'Historico_GEIH_2007-2026'!$M$15</f>
        <v>-4.1174000000000035</v>
      </c>
      <c r="I267" s="19">
        <f t="shared" si="18"/>
        <v>67.934147785109047</v>
      </c>
      <c r="J267" s="19">
        <f t="shared" si="19"/>
        <v>47.20137553844414</v>
      </c>
    </row>
    <row r="268" spans="1:10" ht="15.75" customHeight="1" x14ac:dyDescent="0.25">
      <c r="A268" s="6" t="s">
        <v>49</v>
      </c>
      <c r="B268" s="10">
        <v>2037</v>
      </c>
      <c r="C268" s="12">
        <v>687216</v>
      </c>
      <c r="D268" s="12">
        <v>472769</v>
      </c>
      <c r="E268" s="11">
        <f>Tasas_Informalidad_Proy!$M$16</f>
        <v>69.636700000000005</v>
      </c>
      <c r="F268" s="12">
        <f t="shared" si="16"/>
        <v>329220.73022299999</v>
      </c>
      <c r="G268" s="12">
        <f t="shared" si="17"/>
        <v>143548.26977699998</v>
      </c>
      <c r="H268" s="16">
        <f>E268-'Historico_GEIH_2007-2026'!$M$16</f>
        <v>-4.763300000000001</v>
      </c>
      <c r="I268" s="17">
        <f t="shared" si="18"/>
        <v>68.794818514120735</v>
      </c>
      <c r="J268" s="17">
        <f t="shared" si="19"/>
        <v>45.359784588244999</v>
      </c>
    </row>
    <row r="269" spans="1:10" ht="15.75" customHeight="1" x14ac:dyDescent="0.25">
      <c r="A269" s="8" t="s">
        <v>50</v>
      </c>
      <c r="B269" s="13">
        <v>2037</v>
      </c>
      <c r="C269" s="15">
        <v>988269</v>
      </c>
      <c r="D269" s="15">
        <v>667796</v>
      </c>
      <c r="E269" s="14">
        <f>Tasas_Informalidad_Proy!$M$17</f>
        <v>51.726799999999997</v>
      </c>
      <c r="F269" s="15">
        <f t="shared" si="16"/>
        <v>345429.50132799998</v>
      </c>
      <c r="G269" s="15">
        <f t="shared" si="17"/>
        <v>322366.49867200002</v>
      </c>
      <c r="H269" s="18">
        <f>E269-'Historico_GEIH_2007-2026'!$M$17</f>
        <v>-4.3732000000000042</v>
      </c>
      <c r="I269" s="19">
        <f t="shared" si="18"/>
        <v>67.572290540328595</v>
      </c>
      <c r="J269" s="19">
        <f t="shared" si="19"/>
        <v>47.989655523543121</v>
      </c>
    </row>
    <row r="270" spans="1:10" ht="15.75" customHeight="1" x14ac:dyDescent="0.25">
      <c r="A270" s="6" t="s">
        <v>51</v>
      </c>
      <c r="B270" s="10">
        <v>2037</v>
      </c>
      <c r="C270" s="12">
        <v>624800</v>
      </c>
      <c r="D270" s="12">
        <v>438692</v>
      </c>
      <c r="E270" s="11">
        <f>Tasas_Informalidad_Proy!$M$18</f>
        <v>56.842199999999998</v>
      </c>
      <c r="F270" s="12">
        <f t="shared" si="16"/>
        <v>249362.18402399999</v>
      </c>
      <c r="G270" s="12">
        <f t="shared" si="17"/>
        <v>189329.81597600001</v>
      </c>
      <c r="H270" s="16">
        <f>E270-'Historico_GEIH_2007-2026'!$M$18</f>
        <v>-4.4577999999999989</v>
      </c>
      <c r="I270" s="17">
        <f t="shared" si="18"/>
        <v>70.213188220230478</v>
      </c>
      <c r="J270" s="17">
        <f t="shared" si="19"/>
        <v>42.423385883490013</v>
      </c>
    </row>
    <row r="271" spans="1:10" ht="15.75" customHeight="1" x14ac:dyDescent="0.25">
      <c r="A271" s="8" t="s">
        <v>52</v>
      </c>
      <c r="B271" s="13">
        <v>2037</v>
      </c>
      <c r="C271" s="15">
        <v>213996</v>
      </c>
      <c r="D271" s="15">
        <v>153532</v>
      </c>
      <c r="E271" s="14">
        <f>Tasas_Informalidad_Proy!$M$19</f>
        <v>56.846400000000003</v>
      </c>
      <c r="F271" s="15">
        <f t="shared" si="16"/>
        <v>87277.414848</v>
      </c>
      <c r="G271" s="15">
        <f t="shared" si="17"/>
        <v>66254.585151999985</v>
      </c>
      <c r="H271" s="18">
        <f>E271-'Historico_GEIH_2007-2026'!$M$19</f>
        <v>-4.3536000000000001</v>
      </c>
      <c r="I271" s="19">
        <f t="shared" si="18"/>
        <v>71.745266266659186</v>
      </c>
      <c r="J271" s="19">
        <f t="shared" si="19"/>
        <v>39.382018080921242</v>
      </c>
    </row>
    <row r="272" spans="1:10" ht="15.75" customHeight="1" x14ac:dyDescent="0.25">
      <c r="A272" s="6" t="s">
        <v>53</v>
      </c>
      <c r="B272" s="10">
        <v>2037</v>
      </c>
      <c r="C272" s="12">
        <v>204337</v>
      </c>
      <c r="D272" s="12">
        <v>144531</v>
      </c>
      <c r="E272" s="11">
        <f>Tasas_Informalidad_Proy!$M$20</f>
        <v>71.001099999999994</v>
      </c>
      <c r="F272" s="12">
        <f t="shared" si="16"/>
        <v>102618.59984099999</v>
      </c>
      <c r="G272" s="12">
        <f t="shared" si="17"/>
        <v>41912.400159000004</v>
      </c>
      <c r="H272" s="16">
        <f>E272-'Historico_GEIH_2007-2026'!$M$20</f>
        <v>-4.4989000000000061</v>
      </c>
      <c r="I272" s="17">
        <f t="shared" si="18"/>
        <v>70.73168344450589</v>
      </c>
      <c r="J272" s="17">
        <f t="shared" si="19"/>
        <v>41.379358061592328</v>
      </c>
    </row>
    <row r="273" spans="1:10" ht="15.75" customHeight="1" x14ac:dyDescent="0.25">
      <c r="A273" s="8" t="s">
        <v>54</v>
      </c>
      <c r="B273" s="13">
        <v>2037</v>
      </c>
      <c r="C273" s="15">
        <v>380032</v>
      </c>
      <c r="D273" s="15">
        <v>267694</v>
      </c>
      <c r="E273" s="14">
        <f>Tasas_Informalidad_Proy!$M$21</f>
        <v>64.664000000000001</v>
      </c>
      <c r="F273" s="15">
        <f t="shared" si="16"/>
        <v>173101.64815999998</v>
      </c>
      <c r="G273" s="15">
        <f t="shared" si="17"/>
        <v>94592.351840000003</v>
      </c>
      <c r="H273" s="18">
        <f>E273-'Historico_GEIH_2007-2026'!$M$21</f>
        <v>-4.3359999999999985</v>
      </c>
      <c r="I273" s="19">
        <f t="shared" si="18"/>
        <v>70.439857696194011</v>
      </c>
      <c r="J273" s="19">
        <f t="shared" si="19"/>
        <v>41.965079531106412</v>
      </c>
    </row>
    <row r="274" spans="1:10" ht="15.75" customHeight="1" x14ac:dyDescent="0.25">
      <c r="A274" s="6" t="s">
        <v>55</v>
      </c>
      <c r="B274" s="10">
        <v>2037</v>
      </c>
      <c r="C274" s="12">
        <v>760746</v>
      </c>
      <c r="D274" s="12">
        <v>536987</v>
      </c>
      <c r="E274" s="11">
        <f>Tasas_Informalidad_Proy!$M$22</f>
        <v>63.127499999999998</v>
      </c>
      <c r="F274" s="12">
        <f t="shared" si="16"/>
        <v>338986.46842500003</v>
      </c>
      <c r="G274" s="12">
        <f t="shared" si="17"/>
        <v>198000.53157499997</v>
      </c>
      <c r="H274" s="16">
        <f>E274-'Historico_GEIH_2007-2026'!$M$22</f>
        <v>-4.4724999999999966</v>
      </c>
      <c r="I274" s="17">
        <f t="shared" si="18"/>
        <v>70.586897597884175</v>
      </c>
      <c r="J274" s="17">
        <f t="shared" si="19"/>
        <v>41.669351399568335</v>
      </c>
    </row>
    <row r="275" spans="1:10" ht="15.75" customHeight="1" x14ac:dyDescent="0.25">
      <c r="A275" s="8" t="s">
        <v>56</v>
      </c>
      <c r="B275" s="13">
        <v>2037</v>
      </c>
      <c r="C275" s="15">
        <v>155699</v>
      </c>
      <c r="D275" s="15">
        <v>109142</v>
      </c>
      <c r="E275" s="14">
        <f>Tasas_Informalidad_Proy!$M$23</f>
        <v>74.016800000000003</v>
      </c>
      <c r="F275" s="15">
        <f t="shared" si="16"/>
        <v>80783.415856000007</v>
      </c>
      <c r="G275" s="15">
        <f t="shared" si="17"/>
        <v>28358.584143999993</v>
      </c>
      <c r="H275" s="18">
        <f>E275-'Historico_GEIH_2007-2026'!$M$23</f>
        <v>-4.4831999999999965</v>
      </c>
      <c r="I275" s="19">
        <f t="shared" si="18"/>
        <v>70.098073847616234</v>
      </c>
      <c r="J275" s="19">
        <f t="shared" si="19"/>
        <v>42.657272177530189</v>
      </c>
    </row>
    <row r="276" spans="1:10" ht="15.75" customHeight="1" x14ac:dyDescent="0.25">
      <c r="A276" s="6" t="s">
        <v>57</v>
      </c>
      <c r="B276" s="10">
        <v>2037</v>
      </c>
      <c r="C276" s="12">
        <v>458707</v>
      </c>
      <c r="D276" s="12">
        <v>318934</v>
      </c>
      <c r="E276" s="11">
        <f>Tasas_Informalidad_Proy!$M$24</f>
        <v>60.585099999999997</v>
      </c>
      <c r="F276" s="12">
        <f t="shared" si="16"/>
        <v>193226.48283399999</v>
      </c>
      <c r="G276" s="12">
        <f t="shared" si="17"/>
        <v>125707.51716600002</v>
      </c>
      <c r="H276" s="16">
        <f>E276-'Historico_GEIH_2007-2026'!$M$24</f>
        <v>-4.4149000000000029</v>
      </c>
      <c r="I276" s="17">
        <f t="shared" si="18"/>
        <v>69.52891497186657</v>
      </c>
      <c r="J276" s="17">
        <f t="shared" si="19"/>
        <v>43.825054713514398</v>
      </c>
    </row>
    <row r="277" spans="1:10" ht="15.75" customHeight="1" x14ac:dyDescent="0.25">
      <c r="A277" s="8" t="s">
        <v>58</v>
      </c>
      <c r="B277" s="13">
        <v>2037</v>
      </c>
      <c r="C277" s="15">
        <v>213699</v>
      </c>
      <c r="D277" s="15">
        <v>148494</v>
      </c>
      <c r="E277" s="14">
        <f>Tasas_Informalidad_Proy!$M$25</f>
        <v>68.803200000000004</v>
      </c>
      <c r="F277" s="15">
        <f t="shared" si="16"/>
        <v>102168.62380800002</v>
      </c>
      <c r="G277" s="15">
        <f t="shared" si="17"/>
        <v>46325.376191999989</v>
      </c>
      <c r="H277" s="18">
        <f>E277-'Historico_GEIH_2007-2026'!$M$25</f>
        <v>-4.4967999999999932</v>
      </c>
      <c r="I277" s="19">
        <f t="shared" si="18"/>
        <v>69.487456656325023</v>
      </c>
      <c r="J277" s="19">
        <f t="shared" si="19"/>
        <v>43.910865085457999</v>
      </c>
    </row>
    <row r="278" spans="1:10" ht="15.75" customHeight="1" x14ac:dyDescent="0.25">
      <c r="A278" s="6" t="s">
        <v>59</v>
      </c>
      <c r="B278" s="10">
        <v>2037</v>
      </c>
      <c r="C278" s="12">
        <v>633878</v>
      </c>
      <c r="D278" s="12">
        <v>452915</v>
      </c>
      <c r="E278" s="11">
        <f>Tasas_Informalidad_Proy!$M$26</f>
        <v>54.2789</v>
      </c>
      <c r="F278" s="12">
        <f t="shared" si="16"/>
        <v>245837.27993500003</v>
      </c>
      <c r="G278" s="12">
        <f t="shared" si="17"/>
        <v>207077.720065</v>
      </c>
      <c r="H278" s="16">
        <f>E278-'Historico_GEIH_2007-2026'!$M$26</f>
        <v>-4.4211000000000027</v>
      </c>
      <c r="I278" s="17">
        <f t="shared" si="18"/>
        <v>71.451446492858253</v>
      </c>
      <c r="J278" s="17">
        <f t="shared" si="19"/>
        <v>39.95517922789044</v>
      </c>
    </row>
    <row r="279" spans="1:10" ht="15.75" customHeight="1" x14ac:dyDescent="0.25">
      <c r="A279" s="8" t="s">
        <v>60</v>
      </c>
      <c r="B279" s="13">
        <v>2037</v>
      </c>
      <c r="C279" s="15">
        <v>304092</v>
      </c>
      <c r="D279" s="15">
        <v>203125</v>
      </c>
      <c r="E279" s="14">
        <f>Tasas_Informalidad_Proy!$M$27</f>
        <v>50.4572</v>
      </c>
      <c r="F279" s="15">
        <f t="shared" si="16"/>
        <v>102491.1875</v>
      </c>
      <c r="G279" s="15">
        <f t="shared" si="17"/>
        <v>100633.8125</v>
      </c>
      <c r="H279" s="18">
        <f>E279-'Historico_GEIH_2007-2026'!$M$27</f>
        <v>-4.5427999999999997</v>
      </c>
      <c r="I279" s="19">
        <f t="shared" si="18"/>
        <v>66.797219262591597</v>
      </c>
      <c r="J279" s="19">
        <f t="shared" si="19"/>
        <v>49.70683076923077</v>
      </c>
    </row>
    <row r="280" spans="1:10" ht="15.75" customHeight="1" x14ac:dyDescent="0.25">
      <c r="A280" s="6" t="s">
        <v>61</v>
      </c>
      <c r="B280" s="10">
        <v>2037</v>
      </c>
      <c r="C280" s="12">
        <v>378785</v>
      </c>
      <c r="D280" s="12">
        <v>262334</v>
      </c>
      <c r="E280" s="11">
        <f>Tasas_Informalidad_Proy!$M$28</f>
        <v>63.780099999999997</v>
      </c>
      <c r="F280" s="12">
        <f t="shared" si="16"/>
        <v>167316.88753400001</v>
      </c>
      <c r="G280" s="12">
        <f t="shared" si="17"/>
        <v>95017.112466000006</v>
      </c>
      <c r="H280" s="16">
        <f>E280-'Historico_GEIH_2007-2026'!$M$28</f>
        <v>-4.5198999999999998</v>
      </c>
      <c r="I280" s="17">
        <f t="shared" si="18"/>
        <v>69.256702350937871</v>
      </c>
      <c r="J280" s="17">
        <f t="shared" si="19"/>
        <v>44.39035733073105</v>
      </c>
    </row>
    <row r="281" spans="1:10" ht="15.75" customHeight="1" x14ac:dyDescent="0.25">
      <c r="A281" s="6" t="s">
        <v>39</v>
      </c>
      <c r="B281" s="10">
        <v>2038</v>
      </c>
      <c r="C281" s="12">
        <v>7719774</v>
      </c>
      <c r="D281" s="12">
        <v>5448826</v>
      </c>
      <c r="E281" s="11">
        <f>Tasas_Informalidad_Proy!$N$6</f>
        <v>37.689100000000003</v>
      </c>
      <c r="F281" s="12">
        <f t="shared" si="16"/>
        <v>2053613.4799660004</v>
      </c>
      <c r="G281" s="12">
        <f t="shared" si="17"/>
        <v>3395212.5200339993</v>
      </c>
      <c r="H281" s="16">
        <f>E281-'Historico_GEIH_2007-2026'!$M$6</f>
        <v>-4.910899999999998</v>
      </c>
      <c r="I281" s="17">
        <f t="shared" si="18"/>
        <v>70.582713949916155</v>
      </c>
      <c r="J281" s="17">
        <f t="shared" si="19"/>
        <v>41.677748564553177</v>
      </c>
    </row>
    <row r="282" spans="1:10" ht="15.75" customHeight="1" x14ac:dyDescent="0.25">
      <c r="A282" s="8" t="s">
        <v>40</v>
      </c>
      <c r="B282" s="13">
        <v>2038</v>
      </c>
      <c r="C282" s="15">
        <v>2439177</v>
      </c>
      <c r="D282" s="15">
        <v>1671114</v>
      </c>
      <c r="E282" s="14">
        <f>Tasas_Informalidad_Proy!$N$7</f>
        <v>37.013100000000001</v>
      </c>
      <c r="F282" s="15">
        <f t="shared" si="16"/>
        <v>618531.09593399998</v>
      </c>
      <c r="G282" s="15">
        <f t="shared" si="17"/>
        <v>1052582.9040660001</v>
      </c>
      <c r="H282" s="18">
        <f>E282-'Historico_GEIH_2007-2026'!$M$7</f>
        <v>-6.1869000000000014</v>
      </c>
      <c r="I282" s="19">
        <f t="shared" si="18"/>
        <v>68.511387242500234</v>
      </c>
      <c r="J282" s="19">
        <f t="shared" si="19"/>
        <v>45.961137301225406</v>
      </c>
    </row>
    <row r="283" spans="1:10" ht="15.75" customHeight="1" x14ac:dyDescent="0.25">
      <c r="A283" s="6" t="s">
        <v>41</v>
      </c>
      <c r="B283" s="10">
        <v>2038</v>
      </c>
      <c r="C283" s="12">
        <v>2137545</v>
      </c>
      <c r="D283" s="12">
        <v>1455713</v>
      </c>
      <c r="E283" s="11">
        <f>Tasas_Informalidad_Proy!$N$8</f>
        <v>44.433999999999997</v>
      </c>
      <c r="F283" s="12">
        <f t="shared" si="16"/>
        <v>646831.5144199999</v>
      </c>
      <c r="G283" s="12">
        <f t="shared" si="17"/>
        <v>808881.4855800001</v>
      </c>
      <c r="H283" s="16">
        <f>E283-'Historico_GEIH_2007-2026'!$M$8</f>
        <v>-5.8659999999999997</v>
      </c>
      <c r="I283" s="17">
        <f t="shared" si="18"/>
        <v>68.102098435354577</v>
      </c>
      <c r="J283" s="17">
        <f t="shared" si="19"/>
        <v>46.838353439173794</v>
      </c>
    </row>
    <row r="284" spans="1:10" ht="15.75" customHeight="1" x14ac:dyDescent="0.25">
      <c r="A284" s="8" t="s">
        <v>42</v>
      </c>
      <c r="B284" s="13">
        <v>2038</v>
      </c>
      <c r="C284" s="15">
        <v>1207861</v>
      </c>
      <c r="D284" s="15">
        <v>824491</v>
      </c>
      <c r="E284" s="14">
        <f>Tasas_Informalidad_Proy!$N$9</f>
        <v>51.361400000000003</v>
      </c>
      <c r="F284" s="15">
        <f t="shared" si="16"/>
        <v>423470.12047400005</v>
      </c>
      <c r="G284" s="15">
        <f t="shared" si="17"/>
        <v>401020.879526</v>
      </c>
      <c r="H284" s="18">
        <f>E284-'Historico_GEIH_2007-2026'!$M$9</f>
        <v>-4.8385999999999996</v>
      </c>
      <c r="I284" s="19">
        <f t="shared" si="18"/>
        <v>68.260420694103047</v>
      </c>
      <c r="J284" s="19">
        <f t="shared" si="19"/>
        <v>46.497778629481708</v>
      </c>
    </row>
    <row r="285" spans="1:10" ht="15.75" customHeight="1" x14ac:dyDescent="0.25">
      <c r="A285" s="6" t="s">
        <v>43</v>
      </c>
      <c r="B285" s="10">
        <v>2038</v>
      </c>
      <c r="C285" s="12">
        <v>615966</v>
      </c>
      <c r="D285" s="12">
        <v>416045</v>
      </c>
      <c r="E285" s="11">
        <f>Tasas_Informalidad_Proy!$N$10</f>
        <v>56.336100000000002</v>
      </c>
      <c r="F285" s="12">
        <f t="shared" si="16"/>
        <v>234383.527245</v>
      </c>
      <c r="G285" s="12">
        <f t="shared" si="17"/>
        <v>181661.472755</v>
      </c>
      <c r="H285" s="16">
        <f>E285-'Historico_GEIH_2007-2026'!$M$10</f>
        <v>-6.0638999999999967</v>
      </c>
      <c r="I285" s="17">
        <f t="shared" si="18"/>
        <v>67.543500777640318</v>
      </c>
      <c r="J285" s="17">
        <f t="shared" si="19"/>
        <v>48.05273468014277</v>
      </c>
    </row>
    <row r="286" spans="1:10" ht="15.75" customHeight="1" x14ac:dyDescent="0.25">
      <c r="A286" s="8" t="s">
        <v>44</v>
      </c>
      <c r="B286" s="13">
        <v>2038</v>
      </c>
      <c r="C286" s="15">
        <v>504954</v>
      </c>
      <c r="D286" s="15">
        <v>343467</v>
      </c>
      <c r="E286" s="14">
        <f>Tasas_Informalidad_Proy!$N$11</f>
        <v>44.350099999999998</v>
      </c>
      <c r="F286" s="15">
        <f t="shared" si="16"/>
        <v>152327.95796699999</v>
      </c>
      <c r="G286" s="15">
        <f t="shared" si="17"/>
        <v>191139.04203300003</v>
      </c>
      <c r="H286" s="18">
        <f>E286-'Historico_GEIH_2007-2026'!$M$11</f>
        <v>-5.5499000000000009</v>
      </c>
      <c r="I286" s="19">
        <f t="shared" si="18"/>
        <v>68.019463159020418</v>
      </c>
      <c r="J286" s="19">
        <f t="shared" si="19"/>
        <v>47.016743966669289</v>
      </c>
    </row>
    <row r="287" spans="1:10" ht="15.75" customHeight="1" x14ac:dyDescent="0.25">
      <c r="A287" s="6" t="s">
        <v>45</v>
      </c>
      <c r="B287" s="10">
        <v>2038</v>
      </c>
      <c r="C287" s="12">
        <v>402327</v>
      </c>
      <c r="D287" s="12">
        <v>288911</v>
      </c>
      <c r="E287" s="11">
        <f>Tasas_Informalidad_Proy!$N$12</f>
        <v>64.444199999999995</v>
      </c>
      <c r="F287" s="12">
        <f t="shared" si="16"/>
        <v>186186.38266199999</v>
      </c>
      <c r="G287" s="12">
        <f t="shared" si="17"/>
        <v>102724.61733800001</v>
      </c>
      <c r="H287" s="16">
        <f>E287-'Historico_GEIH_2007-2026'!$M$12</f>
        <v>-4.4558000000000106</v>
      </c>
      <c r="I287" s="17">
        <f t="shared" si="18"/>
        <v>71.809995352039508</v>
      </c>
      <c r="J287" s="17">
        <f t="shared" si="19"/>
        <v>39.25637999245442</v>
      </c>
    </row>
    <row r="288" spans="1:10" ht="15.75" customHeight="1" x14ac:dyDescent="0.25">
      <c r="A288" s="8" t="s">
        <v>46</v>
      </c>
      <c r="B288" s="13">
        <v>2038</v>
      </c>
      <c r="C288" s="15">
        <v>476772</v>
      </c>
      <c r="D288" s="15">
        <v>320917</v>
      </c>
      <c r="E288" s="14">
        <f>Tasas_Informalidad_Proy!$N$13</f>
        <v>52.479300000000002</v>
      </c>
      <c r="F288" s="15">
        <f t="shared" si="16"/>
        <v>168414.99518100001</v>
      </c>
      <c r="G288" s="15">
        <f t="shared" si="17"/>
        <v>152502.00481899997</v>
      </c>
      <c r="H288" s="18">
        <f>E288-'Historico_GEIH_2007-2026'!$M$13</f>
        <v>-5.0206999999999979</v>
      </c>
      <c r="I288" s="19">
        <f t="shared" si="18"/>
        <v>67.310370575453263</v>
      </c>
      <c r="J288" s="19">
        <f t="shared" si="19"/>
        <v>48.565516940517327</v>
      </c>
    </row>
    <row r="289" spans="1:10" ht="15.75" customHeight="1" x14ac:dyDescent="0.25">
      <c r="A289" s="6" t="s">
        <v>47</v>
      </c>
      <c r="B289" s="10">
        <v>2038</v>
      </c>
      <c r="C289" s="12">
        <v>763377</v>
      </c>
      <c r="D289" s="12">
        <v>536383</v>
      </c>
      <c r="E289" s="11">
        <f>Tasas_Informalidad_Proy!$N$14</f>
        <v>64.485500000000002</v>
      </c>
      <c r="F289" s="12">
        <f t="shared" si="16"/>
        <v>345889.25946500001</v>
      </c>
      <c r="G289" s="12">
        <f t="shared" si="17"/>
        <v>190493.74053499996</v>
      </c>
      <c r="H289" s="16">
        <f>E289-'Historico_GEIH_2007-2026'!$M$14</f>
        <v>-5.8144999999999953</v>
      </c>
      <c r="I289" s="17">
        <f t="shared" si="18"/>
        <v>70.264495786485583</v>
      </c>
      <c r="J289" s="17">
        <f t="shared" si="19"/>
        <v>42.319387452622479</v>
      </c>
    </row>
    <row r="290" spans="1:10" ht="15.75" customHeight="1" x14ac:dyDescent="0.25">
      <c r="A290" s="8" t="s">
        <v>48</v>
      </c>
      <c r="B290" s="13">
        <v>2038</v>
      </c>
      <c r="C290" s="15">
        <v>572989</v>
      </c>
      <c r="D290" s="15">
        <v>389762</v>
      </c>
      <c r="E290" s="14">
        <f>Tasas_Informalidad_Proy!$N$15</f>
        <v>56.085900000000002</v>
      </c>
      <c r="F290" s="15">
        <f t="shared" si="16"/>
        <v>218601.52555800002</v>
      </c>
      <c r="G290" s="15">
        <f t="shared" si="17"/>
        <v>171160.47444200001</v>
      </c>
      <c r="H290" s="18">
        <f>E290-'Historico_GEIH_2007-2026'!$M$15</f>
        <v>-4.4140999999999977</v>
      </c>
      <c r="I290" s="19">
        <f t="shared" si="18"/>
        <v>68.022597292443649</v>
      </c>
      <c r="J290" s="19">
        <f t="shared" si="19"/>
        <v>47.009970186934588</v>
      </c>
    </row>
    <row r="291" spans="1:10" ht="15.75" customHeight="1" x14ac:dyDescent="0.25">
      <c r="A291" s="6" t="s">
        <v>49</v>
      </c>
      <c r="B291" s="10">
        <v>2038</v>
      </c>
      <c r="C291" s="12">
        <v>695298</v>
      </c>
      <c r="D291" s="12">
        <v>479781</v>
      </c>
      <c r="E291" s="11">
        <f>Tasas_Informalidad_Proy!$N$16</f>
        <v>69.310400000000001</v>
      </c>
      <c r="F291" s="12">
        <f t="shared" si="16"/>
        <v>332538.13022399996</v>
      </c>
      <c r="G291" s="12">
        <f t="shared" si="17"/>
        <v>147242.86977599998</v>
      </c>
      <c r="H291" s="16">
        <f>E291-'Historico_GEIH_2007-2026'!$M$16</f>
        <v>-5.0896000000000043</v>
      </c>
      <c r="I291" s="17">
        <f t="shared" si="18"/>
        <v>69.003650233425091</v>
      </c>
      <c r="J291" s="17">
        <f t="shared" si="19"/>
        <v>44.919869690546307</v>
      </c>
    </row>
    <row r="292" spans="1:10" ht="15.75" customHeight="1" x14ac:dyDescent="0.25">
      <c r="A292" s="8" t="s">
        <v>50</v>
      </c>
      <c r="B292" s="13">
        <v>2038</v>
      </c>
      <c r="C292" s="15">
        <v>985523</v>
      </c>
      <c r="D292" s="15">
        <v>667022</v>
      </c>
      <c r="E292" s="14">
        <f>Tasas_Informalidad_Proy!$N$17</f>
        <v>51.430599999999998</v>
      </c>
      <c r="F292" s="15">
        <f t="shared" si="16"/>
        <v>343053.41673199995</v>
      </c>
      <c r="G292" s="15">
        <f t="shared" si="17"/>
        <v>323968.58326800005</v>
      </c>
      <c r="H292" s="18">
        <f>E292-'Historico_GEIH_2007-2026'!$M$17</f>
        <v>-4.6694000000000031</v>
      </c>
      <c r="I292" s="19">
        <f t="shared" si="18"/>
        <v>67.682032788681738</v>
      </c>
      <c r="J292" s="19">
        <f t="shared" si="19"/>
        <v>47.749699410214355</v>
      </c>
    </row>
    <row r="293" spans="1:10" ht="15.75" customHeight="1" x14ac:dyDescent="0.25">
      <c r="A293" s="6" t="s">
        <v>51</v>
      </c>
      <c r="B293" s="10">
        <v>2038</v>
      </c>
      <c r="C293" s="12">
        <v>627478</v>
      </c>
      <c r="D293" s="12">
        <v>440795</v>
      </c>
      <c r="E293" s="11">
        <f>Tasas_Informalidad_Proy!$N$18</f>
        <v>56.536799999999999</v>
      </c>
      <c r="F293" s="12">
        <f t="shared" si="16"/>
        <v>249211.38756</v>
      </c>
      <c r="G293" s="12">
        <f t="shared" si="17"/>
        <v>191583.61244</v>
      </c>
      <c r="H293" s="16">
        <f>E293-'Historico_GEIH_2007-2026'!$M$18</f>
        <v>-4.7631999999999977</v>
      </c>
      <c r="I293" s="17">
        <f t="shared" si="18"/>
        <v>70.248678041301844</v>
      </c>
      <c r="J293" s="17">
        <f t="shared" si="19"/>
        <v>42.351433205912045</v>
      </c>
    </row>
    <row r="294" spans="1:10" ht="15.75" customHeight="1" x14ac:dyDescent="0.25">
      <c r="A294" s="8" t="s">
        <v>52</v>
      </c>
      <c r="B294" s="13">
        <v>2038</v>
      </c>
      <c r="C294" s="15">
        <v>216545</v>
      </c>
      <c r="D294" s="15">
        <v>155473</v>
      </c>
      <c r="E294" s="14">
        <f>Tasas_Informalidad_Proy!$N$19</f>
        <v>56.552700000000002</v>
      </c>
      <c r="F294" s="15">
        <f t="shared" si="16"/>
        <v>87924.179271000015</v>
      </c>
      <c r="G294" s="15">
        <f t="shared" si="17"/>
        <v>67548.820728999999</v>
      </c>
      <c r="H294" s="18">
        <f>E294-'Historico_GEIH_2007-2026'!$M$19</f>
        <v>-4.6473000000000013</v>
      </c>
      <c r="I294" s="19">
        <f t="shared" si="18"/>
        <v>71.79708605601607</v>
      </c>
      <c r="J294" s="19">
        <f t="shared" si="19"/>
        <v>39.281418638606056</v>
      </c>
    </row>
    <row r="295" spans="1:10" ht="15.75" customHeight="1" x14ac:dyDescent="0.25">
      <c r="A295" s="6" t="s">
        <v>53</v>
      </c>
      <c r="B295" s="10">
        <v>2038</v>
      </c>
      <c r="C295" s="12">
        <v>205179</v>
      </c>
      <c r="D295" s="12">
        <v>145527</v>
      </c>
      <c r="E295" s="11">
        <f>Tasas_Informalidad_Proy!$N$20</f>
        <v>70.686499999999995</v>
      </c>
      <c r="F295" s="12">
        <f t="shared" si="16"/>
        <v>102867.94285499999</v>
      </c>
      <c r="G295" s="12">
        <f t="shared" si="17"/>
        <v>42659.057145000006</v>
      </c>
      <c r="H295" s="16">
        <f>E295-'Historico_GEIH_2007-2026'!$M$20</f>
        <v>-4.8135000000000048</v>
      </c>
      <c r="I295" s="17">
        <f t="shared" si="18"/>
        <v>70.926849238957203</v>
      </c>
      <c r="J295" s="17">
        <f t="shared" si="19"/>
        <v>40.990331691026405</v>
      </c>
    </row>
    <row r="296" spans="1:10" ht="15.75" customHeight="1" x14ac:dyDescent="0.25">
      <c r="A296" s="8" t="s">
        <v>54</v>
      </c>
      <c r="B296" s="13">
        <v>2038</v>
      </c>
      <c r="C296" s="15">
        <v>381357</v>
      </c>
      <c r="D296" s="15">
        <v>268824</v>
      </c>
      <c r="E296" s="14">
        <f>Tasas_Informalidad_Proy!$N$21</f>
        <v>64.361999999999995</v>
      </c>
      <c r="F296" s="15">
        <f t="shared" si="16"/>
        <v>173020.50287999999</v>
      </c>
      <c r="G296" s="15">
        <f t="shared" si="17"/>
        <v>95803.497120000015</v>
      </c>
      <c r="H296" s="18">
        <f>E296-'Historico_GEIH_2007-2026'!$M$21</f>
        <v>-4.6380000000000052</v>
      </c>
      <c r="I296" s="19">
        <f t="shared" si="18"/>
        <v>70.491429290664655</v>
      </c>
      <c r="J296" s="19">
        <f t="shared" si="19"/>
        <v>41.861217748415321</v>
      </c>
    </row>
    <row r="297" spans="1:10" ht="15.75" customHeight="1" x14ac:dyDescent="0.25">
      <c r="A297" s="6" t="s">
        <v>55</v>
      </c>
      <c r="B297" s="10">
        <v>2038</v>
      </c>
      <c r="C297" s="12">
        <v>771672</v>
      </c>
      <c r="D297" s="12">
        <v>546778</v>
      </c>
      <c r="E297" s="11">
        <f>Tasas_Informalidad_Proy!$N$22</f>
        <v>62.819400000000002</v>
      </c>
      <c r="F297" s="12">
        <f t="shared" si="16"/>
        <v>343482.65893200005</v>
      </c>
      <c r="G297" s="12">
        <f t="shared" si="17"/>
        <v>203295.34106799998</v>
      </c>
      <c r="H297" s="16">
        <f>E297-'Historico_GEIH_2007-2026'!$M$22</f>
        <v>-4.7805999999999926</v>
      </c>
      <c r="I297" s="17">
        <f t="shared" si="18"/>
        <v>70.856270539814844</v>
      </c>
      <c r="J297" s="17">
        <f t="shared" si="19"/>
        <v>41.13076970909583</v>
      </c>
    </row>
    <row r="298" spans="1:10" ht="15.75" customHeight="1" x14ac:dyDescent="0.25">
      <c r="A298" s="8" t="s">
        <v>56</v>
      </c>
      <c r="B298" s="13">
        <v>2038</v>
      </c>
      <c r="C298" s="15">
        <v>156440</v>
      </c>
      <c r="D298" s="15">
        <v>110160</v>
      </c>
      <c r="E298" s="14">
        <f>Tasas_Informalidad_Proy!$N$23</f>
        <v>73.701999999999998</v>
      </c>
      <c r="F298" s="15">
        <f t="shared" si="16"/>
        <v>81190.123199999987</v>
      </c>
      <c r="G298" s="15">
        <f t="shared" si="17"/>
        <v>28969.876799999998</v>
      </c>
      <c r="H298" s="18">
        <f>E298-'Historico_GEIH_2007-2026'!$M$23</f>
        <v>-4.7980000000000018</v>
      </c>
      <c r="I298" s="19">
        <f t="shared" si="18"/>
        <v>70.416773203784203</v>
      </c>
      <c r="J298" s="19">
        <f t="shared" si="19"/>
        <v>42.011619462599853</v>
      </c>
    </row>
    <row r="299" spans="1:10" ht="15.75" customHeight="1" x14ac:dyDescent="0.25">
      <c r="A299" s="6" t="s">
        <v>57</v>
      </c>
      <c r="B299" s="10">
        <v>2038</v>
      </c>
      <c r="C299" s="12">
        <v>462059</v>
      </c>
      <c r="D299" s="12">
        <v>322192</v>
      </c>
      <c r="E299" s="11">
        <f>Tasas_Informalidad_Proy!$N$24</f>
        <v>60.282499999999999</v>
      </c>
      <c r="F299" s="12">
        <f t="shared" si="16"/>
        <v>194225.39239999998</v>
      </c>
      <c r="G299" s="12">
        <f t="shared" si="17"/>
        <v>127966.60760000002</v>
      </c>
      <c r="H299" s="16">
        <f>E299-'Historico_GEIH_2007-2026'!$M$24</f>
        <v>-4.7175000000000011</v>
      </c>
      <c r="I299" s="17">
        <f t="shared" si="18"/>
        <v>69.729623273218351</v>
      </c>
      <c r="J299" s="17">
        <f t="shared" si="19"/>
        <v>43.411071659134926</v>
      </c>
    </row>
    <row r="300" spans="1:10" ht="15.75" customHeight="1" x14ac:dyDescent="0.25">
      <c r="A300" s="8" t="s">
        <v>58</v>
      </c>
      <c r="B300" s="13">
        <v>2038</v>
      </c>
      <c r="C300" s="15">
        <v>213249</v>
      </c>
      <c r="D300" s="15">
        <v>148879</v>
      </c>
      <c r="E300" s="14">
        <f>Tasas_Informalidad_Proy!$N$25</f>
        <v>68.492699999999999</v>
      </c>
      <c r="F300" s="15">
        <f t="shared" si="16"/>
        <v>101971.246833</v>
      </c>
      <c r="G300" s="15">
        <f t="shared" si="17"/>
        <v>46907.75316700001</v>
      </c>
      <c r="H300" s="18">
        <f>E300-'Historico_GEIH_2007-2026'!$M$25</f>
        <v>-4.8072999999999979</v>
      </c>
      <c r="I300" s="19">
        <f t="shared" si="18"/>
        <v>69.814629845860949</v>
      </c>
      <c r="J300" s="19">
        <f t="shared" si="19"/>
        <v>43.236453764466447</v>
      </c>
    </row>
    <row r="301" spans="1:10" ht="15.75" customHeight="1" x14ac:dyDescent="0.25">
      <c r="A301" s="6" t="s">
        <v>59</v>
      </c>
      <c r="B301" s="10">
        <v>2038</v>
      </c>
      <c r="C301" s="12">
        <v>636241</v>
      </c>
      <c r="D301" s="12">
        <v>456077</v>
      </c>
      <c r="E301" s="11">
        <f>Tasas_Informalidad_Proy!$N$26</f>
        <v>53.978000000000002</v>
      </c>
      <c r="F301" s="12">
        <f t="shared" si="16"/>
        <v>246181.24306000001</v>
      </c>
      <c r="G301" s="12">
        <f t="shared" si="17"/>
        <v>209895.75693999999</v>
      </c>
      <c r="H301" s="16">
        <f>E301-'Historico_GEIH_2007-2026'!$M$26</f>
        <v>-4.7220000000000013</v>
      </c>
      <c r="I301" s="17">
        <f t="shared" si="18"/>
        <v>71.683057206310181</v>
      </c>
      <c r="J301" s="17">
        <f t="shared" si="19"/>
        <v>39.502978663690563</v>
      </c>
    </row>
    <row r="302" spans="1:10" ht="15.75" customHeight="1" x14ac:dyDescent="0.25">
      <c r="A302" s="8" t="s">
        <v>60</v>
      </c>
      <c r="B302" s="13">
        <v>2038</v>
      </c>
      <c r="C302" s="15">
        <v>303026</v>
      </c>
      <c r="D302" s="15">
        <v>202453</v>
      </c>
      <c r="E302" s="14">
        <f>Tasas_Informalidad_Proy!$N$27</f>
        <v>50.154600000000002</v>
      </c>
      <c r="F302" s="15">
        <f t="shared" si="16"/>
        <v>101539.492338</v>
      </c>
      <c r="G302" s="15">
        <f t="shared" si="17"/>
        <v>100913.50766199999</v>
      </c>
      <c r="H302" s="18">
        <f>E302-'Historico_GEIH_2007-2026'!$M$27</f>
        <v>-4.8453999999999979</v>
      </c>
      <c r="I302" s="19">
        <f t="shared" si="18"/>
        <v>66.810438708229654</v>
      </c>
      <c r="J302" s="19">
        <f t="shared" si="19"/>
        <v>49.677209031231939</v>
      </c>
    </row>
    <row r="303" spans="1:10" ht="15.75" customHeight="1" x14ac:dyDescent="0.25">
      <c r="A303" s="6" t="s">
        <v>61</v>
      </c>
      <c r="B303" s="10">
        <v>2038</v>
      </c>
      <c r="C303" s="12">
        <v>382083</v>
      </c>
      <c r="D303" s="12">
        <v>265409</v>
      </c>
      <c r="E303" s="11">
        <f>Tasas_Informalidad_Proy!$N$28</f>
        <v>63.470199999999998</v>
      </c>
      <c r="F303" s="12">
        <f t="shared" si="16"/>
        <v>168455.62311799999</v>
      </c>
      <c r="G303" s="12">
        <f t="shared" si="17"/>
        <v>96953.376881999997</v>
      </c>
      <c r="H303" s="16">
        <f>E303-'Historico_GEIH_2007-2026'!$M$28</f>
        <v>-4.8297999999999988</v>
      </c>
      <c r="I303" s="17">
        <f t="shared" si="18"/>
        <v>69.46370291271792</v>
      </c>
      <c r="J303" s="17">
        <f t="shared" si="19"/>
        <v>43.960076711791991</v>
      </c>
    </row>
    <row r="304" spans="1:10" ht="15.75" customHeight="1" x14ac:dyDescent="0.25">
      <c r="A304" s="6" t="s">
        <v>39</v>
      </c>
      <c r="B304" s="10">
        <v>2039</v>
      </c>
      <c r="C304" s="12">
        <v>7682774</v>
      </c>
      <c r="D304" s="12">
        <v>5413420</v>
      </c>
      <c r="E304" s="11">
        <f>Tasas_Informalidad_Proy!$O$6</f>
        <v>37.395800000000001</v>
      </c>
      <c r="F304" s="12">
        <f t="shared" si="16"/>
        <v>2024391.71636</v>
      </c>
      <c r="G304" s="12">
        <f t="shared" si="17"/>
        <v>3389028.28364</v>
      </c>
      <c r="H304" s="16">
        <f>E304-'Historico_GEIH_2007-2026'!$M$6</f>
        <v>-5.2042000000000002</v>
      </c>
      <c r="I304" s="17">
        <f t="shared" si="18"/>
        <v>70.461788931966495</v>
      </c>
      <c r="J304" s="17">
        <f t="shared" si="19"/>
        <v>41.920892892108867</v>
      </c>
    </row>
    <row r="305" spans="1:10" ht="15.75" customHeight="1" x14ac:dyDescent="0.25">
      <c r="A305" s="8" t="s">
        <v>40</v>
      </c>
      <c r="B305" s="13">
        <v>2039</v>
      </c>
      <c r="C305" s="15">
        <v>2426320</v>
      </c>
      <c r="D305" s="15">
        <v>1660801</v>
      </c>
      <c r="E305" s="14">
        <f>Tasas_Informalidad_Proy!$O$7</f>
        <v>36.649299999999997</v>
      </c>
      <c r="F305" s="15">
        <f t="shared" si="16"/>
        <v>608671.94089299988</v>
      </c>
      <c r="G305" s="15">
        <f t="shared" si="17"/>
        <v>1052129.059107</v>
      </c>
      <c r="H305" s="18">
        <f>E305-'Historico_GEIH_2007-2026'!$M$7</f>
        <v>-6.5507000000000062</v>
      </c>
      <c r="I305" s="19">
        <f t="shared" si="18"/>
        <v>68.449380131227528</v>
      </c>
      <c r="J305" s="19">
        <f t="shared" si="19"/>
        <v>46.093360974614058</v>
      </c>
    </row>
    <row r="306" spans="1:10" ht="15.75" customHeight="1" x14ac:dyDescent="0.25">
      <c r="A306" s="6" t="s">
        <v>41</v>
      </c>
      <c r="B306" s="10">
        <v>2039</v>
      </c>
      <c r="C306" s="12">
        <v>2123177</v>
      </c>
      <c r="D306" s="12">
        <v>1444027</v>
      </c>
      <c r="E306" s="11">
        <f>Tasas_Informalidad_Proy!$O$8</f>
        <v>44.087299999999999</v>
      </c>
      <c r="F306" s="12">
        <f t="shared" si="16"/>
        <v>636632.51557099994</v>
      </c>
      <c r="G306" s="12">
        <f t="shared" si="17"/>
        <v>807394.48442899995</v>
      </c>
      <c r="H306" s="16">
        <f>E306-'Historico_GEIH_2007-2026'!$M$8</f>
        <v>-6.2126999999999981</v>
      </c>
      <c r="I306" s="17">
        <f t="shared" si="18"/>
        <v>68.0125585384544</v>
      </c>
      <c r="J306" s="17">
        <f t="shared" si="19"/>
        <v>47.031669075439723</v>
      </c>
    </row>
    <row r="307" spans="1:10" ht="15.75" customHeight="1" x14ac:dyDescent="0.25">
      <c r="A307" s="8" t="s">
        <v>42</v>
      </c>
      <c r="B307" s="13">
        <v>2039</v>
      </c>
      <c r="C307" s="15">
        <v>1203579</v>
      </c>
      <c r="D307" s="15">
        <v>821730</v>
      </c>
      <c r="E307" s="14">
        <f>Tasas_Informalidad_Proy!$O$9</f>
        <v>51.055399999999999</v>
      </c>
      <c r="F307" s="15">
        <f t="shared" si="16"/>
        <v>419537.53842</v>
      </c>
      <c r="G307" s="15">
        <f t="shared" si="17"/>
        <v>402192.46158000006</v>
      </c>
      <c r="H307" s="18">
        <f>E307-'Historico_GEIH_2007-2026'!$M$9</f>
        <v>-5.1446000000000041</v>
      </c>
      <c r="I307" s="19">
        <f t="shared" si="18"/>
        <v>68.273873173260739</v>
      </c>
      <c r="J307" s="19">
        <f t="shared" si="19"/>
        <v>46.46891314665401</v>
      </c>
    </row>
    <row r="308" spans="1:10" ht="15.75" customHeight="1" x14ac:dyDescent="0.25">
      <c r="A308" s="6" t="s">
        <v>43</v>
      </c>
      <c r="B308" s="10">
        <v>2039</v>
      </c>
      <c r="C308" s="12">
        <v>614908</v>
      </c>
      <c r="D308" s="12">
        <v>414691</v>
      </c>
      <c r="E308" s="11">
        <f>Tasas_Informalidad_Proy!$O$10</f>
        <v>55.961599999999997</v>
      </c>
      <c r="F308" s="12">
        <f t="shared" si="16"/>
        <v>232067.71865599998</v>
      </c>
      <c r="G308" s="12">
        <f t="shared" si="17"/>
        <v>182623.28134399999</v>
      </c>
      <c r="H308" s="16">
        <f>E308-'Historico_GEIH_2007-2026'!$M$10</f>
        <v>-6.4384000000000015</v>
      </c>
      <c r="I308" s="17">
        <f t="shared" si="18"/>
        <v>67.439519407781319</v>
      </c>
      <c r="J308" s="17">
        <f t="shared" si="19"/>
        <v>48.281009233380999</v>
      </c>
    </row>
    <row r="309" spans="1:10" ht="15.75" customHeight="1" x14ac:dyDescent="0.25">
      <c r="A309" s="8" t="s">
        <v>44</v>
      </c>
      <c r="B309" s="13">
        <v>2039</v>
      </c>
      <c r="C309" s="15">
        <v>505997</v>
      </c>
      <c r="D309" s="15">
        <v>344303</v>
      </c>
      <c r="E309" s="14">
        <f>Tasas_Informalidad_Proy!$O$11</f>
        <v>44.013500000000001</v>
      </c>
      <c r="F309" s="15">
        <f t="shared" si="16"/>
        <v>151539.80090500001</v>
      </c>
      <c r="G309" s="15">
        <f t="shared" si="17"/>
        <v>192763.19909500002</v>
      </c>
      <c r="H309" s="18">
        <f>E309-'Historico_GEIH_2007-2026'!$M$11</f>
        <v>-5.8864999999999981</v>
      </c>
      <c r="I309" s="19">
        <f t="shared" si="18"/>
        <v>68.044474571983628</v>
      </c>
      <c r="J309" s="19">
        <f t="shared" si="19"/>
        <v>46.962704362146134</v>
      </c>
    </row>
    <row r="310" spans="1:10" ht="15.75" customHeight="1" x14ac:dyDescent="0.25">
      <c r="A310" s="6" t="s">
        <v>45</v>
      </c>
      <c r="B310" s="10">
        <v>2039</v>
      </c>
      <c r="C310" s="12">
        <v>401303</v>
      </c>
      <c r="D310" s="12">
        <v>288232</v>
      </c>
      <c r="E310" s="11">
        <f>Tasas_Informalidad_Proy!$O$12</f>
        <v>64.166200000000003</v>
      </c>
      <c r="F310" s="12">
        <f t="shared" si="16"/>
        <v>184947.521584</v>
      </c>
      <c r="G310" s="12">
        <f t="shared" si="17"/>
        <v>103284.47841599998</v>
      </c>
      <c r="H310" s="16">
        <f>E310-'Historico_GEIH_2007-2026'!$M$12</f>
        <v>-4.7338000000000022</v>
      </c>
      <c r="I310" s="17">
        <f t="shared" si="18"/>
        <v>71.82403321181252</v>
      </c>
      <c r="J310" s="17">
        <f t="shared" si="19"/>
        <v>39.229162619001364</v>
      </c>
    </row>
    <row r="311" spans="1:10" ht="15.75" customHeight="1" x14ac:dyDescent="0.25">
      <c r="A311" s="8" t="s">
        <v>46</v>
      </c>
      <c r="B311" s="13">
        <v>2039</v>
      </c>
      <c r="C311" s="15">
        <v>474407</v>
      </c>
      <c r="D311" s="15">
        <v>319526</v>
      </c>
      <c r="E311" s="14">
        <f>Tasas_Informalidad_Proy!$O$13</f>
        <v>52.1571</v>
      </c>
      <c r="F311" s="15">
        <f t="shared" si="16"/>
        <v>166655.49534600001</v>
      </c>
      <c r="G311" s="15">
        <f t="shared" si="17"/>
        <v>152870.50465399999</v>
      </c>
      <c r="H311" s="18">
        <f>E311-'Historico_GEIH_2007-2026'!$M$13</f>
        <v>-5.3429000000000002</v>
      </c>
      <c r="I311" s="19">
        <f t="shared" si="18"/>
        <v>67.352716127713123</v>
      </c>
      <c r="J311" s="19">
        <f t="shared" si="19"/>
        <v>48.472111815626896</v>
      </c>
    </row>
    <row r="312" spans="1:10" ht="15.75" customHeight="1" x14ac:dyDescent="0.25">
      <c r="A312" s="6" t="s">
        <v>47</v>
      </c>
      <c r="B312" s="10">
        <v>2039</v>
      </c>
      <c r="C312" s="12">
        <v>760713</v>
      </c>
      <c r="D312" s="12">
        <v>534469</v>
      </c>
      <c r="E312" s="11">
        <f>Tasas_Informalidad_Proy!$O$14</f>
        <v>64.120099999999994</v>
      </c>
      <c r="F312" s="12">
        <f t="shared" si="16"/>
        <v>342702.05726899998</v>
      </c>
      <c r="G312" s="12">
        <f t="shared" si="17"/>
        <v>191766.94273100005</v>
      </c>
      <c r="H312" s="16">
        <f>E312-'Historico_GEIH_2007-2026'!$M$14</f>
        <v>-6.1799000000000035</v>
      </c>
      <c r="I312" s="17">
        <f t="shared" si="18"/>
        <v>70.258954428279779</v>
      </c>
      <c r="J312" s="17">
        <f t="shared" si="19"/>
        <v>42.330612252534763</v>
      </c>
    </row>
    <row r="313" spans="1:10" ht="15.75" customHeight="1" x14ac:dyDescent="0.25">
      <c r="A313" s="8" t="s">
        <v>48</v>
      </c>
      <c r="B313" s="13">
        <v>2039</v>
      </c>
      <c r="C313" s="15">
        <v>572989</v>
      </c>
      <c r="D313" s="15">
        <v>390317</v>
      </c>
      <c r="E313" s="14">
        <f>Tasas_Informalidad_Proy!$O$15</f>
        <v>55.790700000000001</v>
      </c>
      <c r="F313" s="15">
        <f t="shared" si="16"/>
        <v>217760.586519</v>
      </c>
      <c r="G313" s="15">
        <f t="shared" si="17"/>
        <v>172556.413481</v>
      </c>
      <c r="H313" s="18">
        <f>E313-'Historico_GEIH_2007-2026'!$M$15</f>
        <v>-4.7092999999999989</v>
      </c>
      <c r="I313" s="19">
        <f t="shared" si="18"/>
        <v>68.119457790638222</v>
      </c>
      <c r="J313" s="19">
        <f t="shared" si="19"/>
        <v>46.800933600125028</v>
      </c>
    </row>
    <row r="314" spans="1:10" ht="15.75" customHeight="1" x14ac:dyDescent="0.25">
      <c r="A314" s="6" t="s">
        <v>49</v>
      </c>
      <c r="B314" s="10">
        <v>2039</v>
      </c>
      <c r="C314" s="12">
        <v>703166</v>
      </c>
      <c r="D314" s="12">
        <v>486685</v>
      </c>
      <c r="E314" s="11">
        <f>Tasas_Informalidad_Proy!$O$16</f>
        <v>68.985699999999994</v>
      </c>
      <c r="F314" s="12">
        <f t="shared" si="16"/>
        <v>335743.054045</v>
      </c>
      <c r="G314" s="12">
        <f t="shared" si="17"/>
        <v>150941.94595500003</v>
      </c>
      <c r="H314" s="16">
        <f>E314-'Historico_GEIH_2007-2026'!$M$16</f>
        <v>-5.4143000000000114</v>
      </c>
      <c r="I314" s="17">
        <f t="shared" si="18"/>
        <v>69.213386312762566</v>
      </c>
      <c r="J314" s="17">
        <f t="shared" si="19"/>
        <v>44.480721616651422</v>
      </c>
    </row>
    <row r="315" spans="1:10" ht="15.75" customHeight="1" x14ac:dyDescent="0.25">
      <c r="A315" s="8" t="s">
        <v>50</v>
      </c>
      <c r="B315" s="13">
        <v>2039</v>
      </c>
      <c r="C315" s="15">
        <v>982721</v>
      </c>
      <c r="D315" s="15">
        <v>666066</v>
      </c>
      <c r="E315" s="14">
        <f>Tasas_Informalidad_Proy!$O$17</f>
        <v>51.136099999999999</v>
      </c>
      <c r="F315" s="15">
        <f t="shared" si="16"/>
        <v>340600.17582599999</v>
      </c>
      <c r="G315" s="15">
        <f t="shared" si="17"/>
        <v>325465.82417400001</v>
      </c>
      <c r="H315" s="18">
        <f>E315-'Historico_GEIH_2007-2026'!$M$17</f>
        <v>-4.9639000000000024</v>
      </c>
      <c r="I315" s="19">
        <f t="shared" si="18"/>
        <v>67.777731421227386</v>
      </c>
      <c r="J315" s="19">
        <f t="shared" si="19"/>
        <v>47.541084517149947</v>
      </c>
    </row>
    <row r="316" spans="1:10" ht="15.75" customHeight="1" x14ac:dyDescent="0.25">
      <c r="A316" s="6" t="s">
        <v>51</v>
      </c>
      <c r="B316" s="10">
        <v>2039</v>
      </c>
      <c r="C316" s="12">
        <v>630050</v>
      </c>
      <c r="D316" s="12">
        <v>442827</v>
      </c>
      <c r="E316" s="11">
        <f>Tasas_Informalidad_Proy!$O$18</f>
        <v>56.232999999999997</v>
      </c>
      <c r="F316" s="12">
        <f t="shared" si="16"/>
        <v>249014.90690999999</v>
      </c>
      <c r="G316" s="12">
        <f t="shared" si="17"/>
        <v>193812.09309000001</v>
      </c>
      <c r="H316" s="16">
        <f>E316-'Historico_GEIH_2007-2026'!$M$18</f>
        <v>-5.0670000000000002</v>
      </c>
      <c r="I316" s="17">
        <f t="shared" si="18"/>
        <v>70.28442187128006</v>
      </c>
      <c r="J316" s="17">
        <f t="shared" si="19"/>
        <v>42.279038992654016</v>
      </c>
    </row>
    <row r="317" spans="1:10" ht="15.75" customHeight="1" x14ac:dyDescent="0.25">
      <c r="A317" s="8" t="s">
        <v>52</v>
      </c>
      <c r="B317" s="13">
        <v>2039</v>
      </c>
      <c r="C317" s="15">
        <v>218984</v>
      </c>
      <c r="D317" s="15">
        <v>157330</v>
      </c>
      <c r="E317" s="14">
        <f>Tasas_Informalidad_Proy!$O$19</f>
        <v>56.2605</v>
      </c>
      <c r="F317" s="15">
        <f t="shared" si="16"/>
        <v>88514.644650000002</v>
      </c>
      <c r="G317" s="15">
        <f t="shared" si="17"/>
        <v>68815.355349999998</v>
      </c>
      <c r="H317" s="18">
        <f>E317-'Historico_GEIH_2007-2026'!$M$19</f>
        <v>-4.9395000000000024</v>
      </c>
      <c r="I317" s="19">
        <f t="shared" si="18"/>
        <v>71.845431629708116</v>
      </c>
      <c r="J317" s="19">
        <f t="shared" si="19"/>
        <v>39.187694654547769</v>
      </c>
    </row>
    <row r="318" spans="1:10" ht="15.75" customHeight="1" x14ac:dyDescent="0.25">
      <c r="A318" s="6" t="s">
        <v>53</v>
      </c>
      <c r="B318" s="10">
        <v>2039</v>
      </c>
      <c r="C318" s="12">
        <v>205951</v>
      </c>
      <c r="D318" s="12">
        <v>146484</v>
      </c>
      <c r="E318" s="11">
        <f>Tasas_Informalidad_Proy!$O$20</f>
        <v>70.373199999999997</v>
      </c>
      <c r="F318" s="12">
        <f t="shared" si="16"/>
        <v>103085.478288</v>
      </c>
      <c r="G318" s="12">
        <f t="shared" si="17"/>
        <v>43398.521711999994</v>
      </c>
      <c r="H318" s="16">
        <f>E318-'Historico_GEIH_2007-2026'!$M$20</f>
        <v>-5.1268000000000029</v>
      </c>
      <c r="I318" s="17">
        <f t="shared" si="18"/>
        <v>71.125656102665204</v>
      </c>
      <c r="J318" s="17">
        <f t="shared" si="19"/>
        <v>40.596242593047705</v>
      </c>
    </row>
    <row r="319" spans="1:10" ht="15.75" customHeight="1" x14ac:dyDescent="0.25">
      <c r="A319" s="8" t="s">
        <v>54</v>
      </c>
      <c r="B319" s="13">
        <v>2039</v>
      </c>
      <c r="C319" s="15">
        <v>382521</v>
      </c>
      <c r="D319" s="15">
        <v>269834</v>
      </c>
      <c r="E319" s="14">
        <f>Tasas_Informalidad_Proy!$O$21</f>
        <v>64.061400000000006</v>
      </c>
      <c r="F319" s="15">
        <f t="shared" si="16"/>
        <v>172859.43807600002</v>
      </c>
      <c r="G319" s="15">
        <f t="shared" si="17"/>
        <v>96974.561923999994</v>
      </c>
      <c r="H319" s="18">
        <f>E319-'Historico_GEIH_2007-2026'!$M$21</f>
        <v>-4.9385999999999939</v>
      </c>
      <c r="I319" s="19">
        <f t="shared" si="18"/>
        <v>70.540963764080928</v>
      </c>
      <c r="J319" s="19">
        <f t="shared" si="19"/>
        <v>41.761601577266021</v>
      </c>
    </row>
    <row r="320" spans="1:10" ht="15.75" customHeight="1" x14ac:dyDescent="0.25">
      <c r="A320" s="6" t="s">
        <v>55</v>
      </c>
      <c r="B320" s="10">
        <v>2039</v>
      </c>
      <c r="C320" s="12">
        <v>782402</v>
      </c>
      <c r="D320" s="12">
        <v>556447</v>
      </c>
      <c r="E320" s="11">
        <f>Tasas_Informalidad_Proy!$O$22</f>
        <v>62.512799999999999</v>
      </c>
      <c r="F320" s="12">
        <f t="shared" si="16"/>
        <v>347850.60021599999</v>
      </c>
      <c r="G320" s="12">
        <f t="shared" si="17"/>
        <v>208596.39978399998</v>
      </c>
      <c r="H320" s="16">
        <f>E320-'Historico_GEIH_2007-2026'!$M$22</f>
        <v>-5.0871999999999957</v>
      </c>
      <c r="I320" s="17">
        <f t="shared" si="18"/>
        <v>71.120344784394717</v>
      </c>
      <c r="J320" s="17">
        <f t="shared" si="19"/>
        <v>40.606742421111086</v>
      </c>
    </row>
    <row r="321" spans="1:10" ht="15.75" customHeight="1" x14ac:dyDescent="0.25">
      <c r="A321" s="8" t="s">
        <v>56</v>
      </c>
      <c r="B321" s="13">
        <v>2039</v>
      </c>
      <c r="C321" s="15">
        <v>157136</v>
      </c>
      <c r="D321" s="15">
        <v>111158</v>
      </c>
      <c r="E321" s="14">
        <f>Tasas_Informalidad_Proy!$O$23</f>
        <v>73.388499999999993</v>
      </c>
      <c r="F321" s="15">
        <f t="shared" si="16"/>
        <v>81577.188829999999</v>
      </c>
      <c r="G321" s="15">
        <f t="shared" si="17"/>
        <v>29580.811170000012</v>
      </c>
      <c r="H321" s="18">
        <f>E321-'Historico_GEIH_2007-2026'!$M$23</f>
        <v>-5.1115000000000066</v>
      </c>
      <c r="I321" s="19">
        <f t="shared" si="18"/>
        <v>70.739995927094995</v>
      </c>
      <c r="J321" s="19">
        <f t="shared" si="19"/>
        <v>41.36274492164307</v>
      </c>
    </row>
    <row r="322" spans="1:10" ht="15.75" customHeight="1" x14ac:dyDescent="0.25">
      <c r="A322" s="6" t="s">
        <v>57</v>
      </c>
      <c r="B322" s="10">
        <v>2039</v>
      </c>
      <c r="C322" s="12">
        <v>465229</v>
      </c>
      <c r="D322" s="12">
        <v>325308</v>
      </c>
      <c r="E322" s="11">
        <f>Tasas_Informalidad_Proy!$O$24</f>
        <v>59.981499999999997</v>
      </c>
      <c r="F322" s="12">
        <f t="shared" si="16"/>
        <v>195124.61801999997</v>
      </c>
      <c r="G322" s="12">
        <f t="shared" si="17"/>
        <v>130183.38198000001</v>
      </c>
      <c r="H322" s="16">
        <f>E322-'Historico_GEIH_2007-2026'!$M$24</f>
        <v>-5.0185000000000031</v>
      </c>
      <c r="I322" s="17">
        <f t="shared" si="18"/>
        <v>69.924273852231906</v>
      </c>
      <c r="J322" s="17">
        <f t="shared" si="19"/>
        <v>43.011853382025649</v>
      </c>
    </row>
    <row r="323" spans="1:10" ht="15.75" customHeight="1" x14ac:dyDescent="0.25">
      <c r="A323" s="8" t="s">
        <v>58</v>
      </c>
      <c r="B323" s="13">
        <v>2039</v>
      </c>
      <c r="C323" s="15">
        <v>212760</v>
      </c>
      <c r="D323" s="15">
        <v>149205</v>
      </c>
      <c r="E323" s="14">
        <f>Tasas_Informalidad_Proy!$O$25</f>
        <v>68.183499999999995</v>
      </c>
      <c r="F323" s="15">
        <f t="shared" si="16"/>
        <v>101733.191175</v>
      </c>
      <c r="G323" s="15">
        <f t="shared" si="17"/>
        <v>47471.808825000007</v>
      </c>
      <c r="H323" s="18">
        <f>E323-'Historico_GEIH_2007-2026'!$M$25</f>
        <v>-5.116500000000002</v>
      </c>
      <c r="I323" s="19">
        <f t="shared" si="18"/>
        <v>70.1283135927806</v>
      </c>
      <c r="J323" s="19">
        <f t="shared" si="19"/>
        <v>42.595757514828591</v>
      </c>
    </row>
    <row r="324" spans="1:10" ht="15.75" customHeight="1" x14ac:dyDescent="0.25">
      <c r="A324" s="6" t="s">
        <v>59</v>
      </c>
      <c r="B324" s="10">
        <v>2039</v>
      </c>
      <c r="C324" s="12">
        <v>638385</v>
      </c>
      <c r="D324" s="12">
        <v>459068</v>
      </c>
      <c r="E324" s="11">
        <f>Tasas_Informalidad_Proy!$O$26</f>
        <v>53.678699999999999</v>
      </c>
      <c r="F324" s="12">
        <f t="shared" si="16"/>
        <v>246421.734516</v>
      </c>
      <c r="G324" s="12">
        <f t="shared" si="17"/>
        <v>212646.265484</v>
      </c>
      <c r="H324" s="16">
        <f>E324-'Historico_GEIH_2007-2026'!$M$26</f>
        <v>-5.0213000000000036</v>
      </c>
      <c r="I324" s="17">
        <f t="shared" si="18"/>
        <v>71.91083750401404</v>
      </c>
      <c r="J324" s="17">
        <f t="shared" si="19"/>
        <v>39.061097702301183</v>
      </c>
    </row>
    <row r="325" spans="1:10" ht="15.75" customHeight="1" x14ac:dyDescent="0.25">
      <c r="A325" s="8" t="s">
        <v>60</v>
      </c>
      <c r="B325" s="13">
        <v>2039</v>
      </c>
      <c r="C325" s="15">
        <v>301827</v>
      </c>
      <c r="D325" s="15">
        <v>201736</v>
      </c>
      <c r="E325" s="14">
        <f>Tasas_Informalidad_Proy!$O$27</f>
        <v>49.853900000000003</v>
      </c>
      <c r="F325" s="15">
        <f t="shared" ref="F325:F388" si="20">D325*E325/100</f>
        <v>100573.263704</v>
      </c>
      <c r="G325" s="15">
        <f t="shared" ref="G325:G388" si="21">D325*(1-E325/100)</f>
        <v>101162.73629599999</v>
      </c>
      <c r="H325" s="18">
        <f>E325-'Historico_GEIH_2007-2026'!$M$27</f>
        <v>-5.146099999999997</v>
      </c>
      <c r="I325" s="19">
        <f t="shared" ref="I325:I388" si="22">IF(C325&gt;0,D325/C325*100,"")</f>
        <v>66.838288158448378</v>
      </c>
      <c r="J325" s="19">
        <f t="shared" ref="J325:J388" si="23">IF(D325&gt;0,(C325-D325)/D325*100,"")</f>
        <v>49.614843161359403</v>
      </c>
    </row>
    <row r="326" spans="1:10" ht="15.75" customHeight="1" x14ac:dyDescent="0.25">
      <c r="A326" s="6" t="s">
        <v>61</v>
      </c>
      <c r="B326" s="10">
        <v>2039</v>
      </c>
      <c r="C326" s="12">
        <v>385214</v>
      </c>
      <c r="D326" s="12">
        <v>268370</v>
      </c>
      <c r="E326" s="11">
        <f>Tasas_Informalidad_Proy!$O$28</f>
        <v>63.161799999999999</v>
      </c>
      <c r="F326" s="12">
        <f t="shared" si="20"/>
        <v>169507.32265999998</v>
      </c>
      <c r="G326" s="12">
        <f t="shared" si="21"/>
        <v>98862.677339999995</v>
      </c>
      <c r="H326" s="16">
        <f>E326-'Historico_GEIH_2007-2026'!$M$28</f>
        <v>-5.1381999999999977</v>
      </c>
      <c r="I326" s="17">
        <f t="shared" si="22"/>
        <v>69.667769084197346</v>
      </c>
      <c r="J326" s="17">
        <f t="shared" si="23"/>
        <v>43.53839847971085</v>
      </c>
    </row>
    <row r="327" spans="1:10" ht="15.75" customHeight="1" x14ac:dyDescent="0.25">
      <c r="A327" s="6" t="s">
        <v>39</v>
      </c>
      <c r="B327" s="10">
        <v>2040</v>
      </c>
      <c r="C327" s="12">
        <v>7643126</v>
      </c>
      <c r="D327" s="12">
        <v>5375175</v>
      </c>
      <c r="E327" s="11">
        <f>Tasas_Informalidad_Proy!$P$6</f>
        <v>37.104700000000001</v>
      </c>
      <c r="F327" s="12">
        <f t="shared" si="20"/>
        <v>1994442.5582250003</v>
      </c>
      <c r="G327" s="12">
        <f t="shared" si="21"/>
        <v>3380732.4417749997</v>
      </c>
      <c r="H327" s="16">
        <f>E327-'Historico_GEIH_2007-2026'!$M$6</f>
        <v>-5.4953000000000003</v>
      </c>
      <c r="I327" s="17">
        <f t="shared" si="22"/>
        <v>70.32691859325621</v>
      </c>
      <c r="J327" s="17">
        <f t="shared" si="23"/>
        <v>42.193063481654086</v>
      </c>
    </row>
    <row r="328" spans="1:10" ht="15.75" customHeight="1" x14ac:dyDescent="0.25">
      <c r="A328" s="8" t="s">
        <v>40</v>
      </c>
      <c r="B328" s="13">
        <v>2040</v>
      </c>
      <c r="C328" s="15">
        <v>2412557</v>
      </c>
      <c r="D328" s="15">
        <v>1649641</v>
      </c>
      <c r="E328" s="14">
        <f>Tasas_Informalidad_Proy!$P$7</f>
        <v>36.289000000000001</v>
      </c>
      <c r="F328" s="15">
        <f t="shared" si="20"/>
        <v>598638.22249000007</v>
      </c>
      <c r="G328" s="15">
        <f t="shared" si="21"/>
        <v>1051002.7775100002</v>
      </c>
      <c r="H328" s="18">
        <f>E328-'Historico_GEIH_2007-2026'!$M$7</f>
        <v>-6.9110000000000014</v>
      </c>
      <c r="I328" s="19">
        <f t="shared" si="22"/>
        <v>68.377286008164788</v>
      </c>
      <c r="J328" s="19">
        <f t="shared" si="23"/>
        <v>46.2473956454768</v>
      </c>
    </row>
    <row r="329" spans="1:10" ht="15.75" customHeight="1" x14ac:dyDescent="0.25">
      <c r="A329" s="6" t="s">
        <v>41</v>
      </c>
      <c r="B329" s="10">
        <v>2040</v>
      </c>
      <c r="C329" s="12">
        <v>2108246</v>
      </c>
      <c r="D329" s="12">
        <v>1431881</v>
      </c>
      <c r="E329" s="11">
        <f>Tasas_Informalidad_Proy!$P$8</f>
        <v>43.743299999999998</v>
      </c>
      <c r="F329" s="12">
        <f t="shared" si="20"/>
        <v>626352.00147299992</v>
      </c>
      <c r="G329" s="12">
        <f t="shared" si="21"/>
        <v>805528.99852700008</v>
      </c>
      <c r="H329" s="16">
        <f>E329-'Historico_GEIH_2007-2026'!$M$8</f>
        <v>-6.5566999999999993</v>
      </c>
      <c r="I329" s="17">
        <f t="shared" si="22"/>
        <v>67.918117714915624</v>
      </c>
      <c r="J329" s="17">
        <f t="shared" si="23"/>
        <v>47.236118085231944</v>
      </c>
    </row>
    <row r="330" spans="1:10" ht="15.75" customHeight="1" x14ac:dyDescent="0.25">
      <c r="A330" s="8" t="s">
        <v>42</v>
      </c>
      <c r="B330" s="13">
        <v>2040</v>
      </c>
      <c r="C330" s="15">
        <v>1198966</v>
      </c>
      <c r="D330" s="15">
        <v>818517</v>
      </c>
      <c r="E330" s="14">
        <f>Tasas_Informalidad_Proy!$P$9</f>
        <v>50.751100000000001</v>
      </c>
      <c r="F330" s="15">
        <f t="shared" si="20"/>
        <v>415406.38118699996</v>
      </c>
      <c r="G330" s="15">
        <f t="shared" si="21"/>
        <v>403110.61881299998</v>
      </c>
      <c r="H330" s="18">
        <f>E330-'Historico_GEIH_2007-2026'!$M$9</f>
        <v>-5.4489000000000019</v>
      </c>
      <c r="I330" s="19">
        <f t="shared" si="22"/>
        <v>68.268574755247442</v>
      </c>
      <c r="J330" s="19">
        <f t="shared" si="23"/>
        <v>46.480280800520937</v>
      </c>
    </row>
    <row r="331" spans="1:10" ht="15.75" customHeight="1" x14ac:dyDescent="0.25">
      <c r="A331" s="6" t="s">
        <v>43</v>
      </c>
      <c r="B331" s="10">
        <v>2040</v>
      </c>
      <c r="C331" s="12">
        <v>613712</v>
      </c>
      <c r="D331" s="12">
        <v>413150</v>
      </c>
      <c r="E331" s="11">
        <f>Tasas_Informalidad_Proy!$P$10</f>
        <v>55.589599999999997</v>
      </c>
      <c r="F331" s="12">
        <f t="shared" si="20"/>
        <v>229668.43239999999</v>
      </c>
      <c r="G331" s="12">
        <f t="shared" si="21"/>
        <v>183481.56760000001</v>
      </c>
      <c r="H331" s="16">
        <f>E331-'Historico_GEIH_2007-2026'!$M$10</f>
        <v>-6.8104000000000013</v>
      </c>
      <c r="I331" s="17">
        <f t="shared" si="22"/>
        <v>67.319850353260165</v>
      </c>
      <c r="J331" s="17">
        <f t="shared" si="23"/>
        <v>48.544596393561662</v>
      </c>
    </row>
    <row r="332" spans="1:10" ht="15.75" customHeight="1" x14ac:dyDescent="0.25">
      <c r="A332" s="8" t="s">
        <v>44</v>
      </c>
      <c r="B332" s="13">
        <v>2040</v>
      </c>
      <c r="C332" s="15">
        <v>506787</v>
      </c>
      <c r="D332" s="15">
        <v>344980</v>
      </c>
      <c r="E332" s="14">
        <f>Tasas_Informalidad_Proy!$P$11</f>
        <v>43.679400000000001</v>
      </c>
      <c r="F332" s="15">
        <f t="shared" si="20"/>
        <v>150685.19412</v>
      </c>
      <c r="G332" s="15">
        <f t="shared" si="21"/>
        <v>194294.80588</v>
      </c>
      <c r="H332" s="18">
        <f>E332-'Historico_GEIH_2007-2026'!$M$11</f>
        <v>-6.2205999999999975</v>
      </c>
      <c r="I332" s="19">
        <f t="shared" si="22"/>
        <v>68.071990796922577</v>
      </c>
      <c r="J332" s="19">
        <f t="shared" si="23"/>
        <v>46.903298741956057</v>
      </c>
    </row>
    <row r="333" spans="1:10" ht="15.75" customHeight="1" x14ac:dyDescent="0.25">
      <c r="A333" s="6" t="s">
        <v>45</v>
      </c>
      <c r="B333" s="10">
        <v>2040</v>
      </c>
      <c r="C333" s="12">
        <v>400150</v>
      </c>
      <c r="D333" s="12">
        <v>287413</v>
      </c>
      <c r="E333" s="11">
        <f>Tasas_Informalidad_Proy!$P$12</f>
        <v>63.889400000000002</v>
      </c>
      <c r="F333" s="12">
        <f t="shared" si="20"/>
        <v>183626.44122200002</v>
      </c>
      <c r="G333" s="12">
        <f t="shared" si="21"/>
        <v>103786.55877799998</v>
      </c>
      <c r="H333" s="16">
        <f>E333-'Historico_GEIH_2007-2026'!$M$12</f>
        <v>-5.0106000000000037</v>
      </c>
      <c r="I333" s="17">
        <f t="shared" si="22"/>
        <v>71.826315131825567</v>
      </c>
      <c r="J333" s="17">
        <f t="shared" si="23"/>
        <v>39.224739312418016</v>
      </c>
    </row>
    <row r="334" spans="1:10" ht="15.75" customHeight="1" x14ac:dyDescent="0.25">
      <c r="A334" s="8" t="s">
        <v>46</v>
      </c>
      <c r="B334" s="13">
        <v>2040</v>
      </c>
      <c r="C334" s="15">
        <v>471824</v>
      </c>
      <c r="D334" s="15">
        <v>317974</v>
      </c>
      <c r="E334" s="14">
        <f>Tasas_Informalidad_Proy!$P$13</f>
        <v>51.836799999999997</v>
      </c>
      <c r="F334" s="15">
        <f t="shared" si="20"/>
        <v>164827.546432</v>
      </c>
      <c r="G334" s="15">
        <f t="shared" si="21"/>
        <v>153146.45356800003</v>
      </c>
      <c r="H334" s="18">
        <f>E334-'Historico_GEIH_2007-2026'!$M$13</f>
        <v>-5.6632000000000033</v>
      </c>
      <c r="I334" s="19">
        <f t="shared" si="22"/>
        <v>67.392502288989121</v>
      </c>
      <c r="J334" s="19">
        <f t="shared" si="23"/>
        <v>48.384459106719419</v>
      </c>
    </row>
    <row r="335" spans="1:10" ht="15.75" customHeight="1" x14ac:dyDescent="0.25">
      <c r="A335" s="6" t="s">
        <v>47</v>
      </c>
      <c r="B335" s="10">
        <v>2040</v>
      </c>
      <c r="C335" s="12">
        <v>758062</v>
      </c>
      <c r="D335" s="12">
        <v>532524</v>
      </c>
      <c r="E335" s="11">
        <f>Tasas_Informalidad_Proy!$P$14</f>
        <v>63.756700000000002</v>
      </c>
      <c r="F335" s="12">
        <f t="shared" si="20"/>
        <v>339519.729108</v>
      </c>
      <c r="G335" s="12">
        <f t="shared" si="21"/>
        <v>193004.270892</v>
      </c>
      <c r="H335" s="16">
        <f>E335-'Historico_GEIH_2007-2026'!$M$14</f>
        <v>-6.543299999999995</v>
      </c>
      <c r="I335" s="17">
        <f t="shared" si="22"/>
        <v>70.248079972350538</v>
      </c>
      <c r="J335" s="17">
        <f t="shared" si="23"/>
        <v>42.352645138998426</v>
      </c>
    </row>
    <row r="336" spans="1:10" ht="15.75" customHeight="1" x14ac:dyDescent="0.25">
      <c r="A336" s="8" t="s">
        <v>48</v>
      </c>
      <c r="B336" s="13">
        <v>2040</v>
      </c>
      <c r="C336" s="15">
        <v>572758</v>
      </c>
      <c r="D336" s="15">
        <v>390733</v>
      </c>
      <c r="E336" s="14">
        <f>Tasas_Informalidad_Proy!$P$15</f>
        <v>55.497199999999999</v>
      </c>
      <c r="F336" s="15">
        <f t="shared" si="20"/>
        <v>216845.874476</v>
      </c>
      <c r="G336" s="15">
        <f t="shared" si="21"/>
        <v>173887.125524</v>
      </c>
      <c r="H336" s="18">
        <f>E336-'Historico_GEIH_2007-2026'!$M$15</f>
        <v>-5.0028000000000006</v>
      </c>
      <c r="I336" s="19">
        <f t="shared" si="22"/>
        <v>68.21956218856829</v>
      </c>
      <c r="J336" s="19">
        <f t="shared" si="23"/>
        <v>46.585520035420608</v>
      </c>
    </row>
    <row r="337" spans="1:10" ht="15.75" customHeight="1" x14ac:dyDescent="0.25">
      <c r="A337" s="6" t="s">
        <v>49</v>
      </c>
      <c r="B337" s="10">
        <v>2040</v>
      </c>
      <c r="C337" s="12">
        <v>710850</v>
      </c>
      <c r="D337" s="12">
        <v>493437</v>
      </c>
      <c r="E337" s="11">
        <f>Tasas_Informalidad_Proy!$P$16</f>
        <v>68.662599999999998</v>
      </c>
      <c r="F337" s="12">
        <f t="shared" si="20"/>
        <v>338806.67356200004</v>
      </c>
      <c r="G337" s="12">
        <f t="shared" si="21"/>
        <v>154630.32643800002</v>
      </c>
      <c r="H337" s="16">
        <f>E337-'Historico_GEIH_2007-2026'!$M$16</f>
        <v>-5.737400000000008</v>
      </c>
      <c r="I337" s="17">
        <f t="shared" si="22"/>
        <v>69.415066469719349</v>
      </c>
      <c r="J337" s="17">
        <f t="shared" si="23"/>
        <v>44.060943950291524</v>
      </c>
    </row>
    <row r="338" spans="1:10" ht="15.75" customHeight="1" x14ac:dyDescent="0.25">
      <c r="A338" s="8" t="s">
        <v>50</v>
      </c>
      <c r="B338" s="13">
        <v>2040</v>
      </c>
      <c r="C338" s="15">
        <v>979878</v>
      </c>
      <c r="D338" s="15">
        <v>664901</v>
      </c>
      <c r="E338" s="14">
        <f>Tasas_Informalidad_Proy!$P$17</f>
        <v>50.843299999999999</v>
      </c>
      <c r="F338" s="15">
        <f t="shared" si="20"/>
        <v>338057.61013300001</v>
      </c>
      <c r="G338" s="15">
        <f t="shared" si="21"/>
        <v>326843.38986699999</v>
      </c>
      <c r="H338" s="18">
        <f>E338-'Historico_GEIH_2007-2026'!$M$17</f>
        <v>-5.2567000000000021</v>
      </c>
      <c r="I338" s="19">
        <f t="shared" si="22"/>
        <v>67.855488132196058</v>
      </c>
      <c r="J338" s="19">
        <f t="shared" si="23"/>
        <v>47.372014781147868</v>
      </c>
    </row>
    <row r="339" spans="1:10" ht="15.75" customHeight="1" x14ac:dyDescent="0.25">
      <c r="A339" s="6" t="s">
        <v>51</v>
      </c>
      <c r="B339" s="10">
        <v>2040</v>
      </c>
      <c r="C339" s="12">
        <v>632579</v>
      </c>
      <c r="D339" s="12">
        <v>444773</v>
      </c>
      <c r="E339" s="11">
        <f>Tasas_Informalidad_Proy!$P$18</f>
        <v>55.930900000000001</v>
      </c>
      <c r="F339" s="12">
        <f t="shared" si="20"/>
        <v>248765.541857</v>
      </c>
      <c r="G339" s="12">
        <f t="shared" si="21"/>
        <v>196007.45814299997</v>
      </c>
      <c r="H339" s="16">
        <f>E339-'Historico_GEIH_2007-2026'!$M$18</f>
        <v>-5.369099999999996</v>
      </c>
      <c r="I339" s="17">
        <f t="shared" si="22"/>
        <v>70.311059962471091</v>
      </c>
      <c r="J339" s="17">
        <f t="shared" si="23"/>
        <v>42.225135068900315</v>
      </c>
    </row>
    <row r="340" spans="1:10" ht="15.75" customHeight="1" x14ac:dyDescent="0.25">
      <c r="A340" s="8" t="s">
        <v>52</v>
      </c>
      <c r="B340" s="13">
        <v>2040</v>
      </c>
      <c r="C340" s="15">
        <v>221353</v>
      </c>
      <c r="D340" s="15">
        <v>159126</v>
      </c>
      <c r="E340" s="14">
        <f>Tasas_Informalidad_Proy!$P$19</f>
        <v>55.969799999999999</v>
      </c>
      <c r="F340" s="15">
        <f t="shared" si="20"/>
        <v>89062.503947999998</v>
      </c>
      <c r="G340" s="15">
        <f t="shared" si="21"/>
        <v>70063.496052000002</v>
      </c>
      <c r="H340" s="18">
        <f>E340-'Historico_GEIH_2007-2026'!$M$19</f>
        <v>-5.2302000000000035</v>
      </c>
      <c r="I340" s="19">
        <f t="shared" si="22"/>
        <v>71.887889479699851</v>
      </c>
      <c r="J340" s="19">
        <f t="shared" si="23"/>
        <v>39.105488732199639</v>
      </c>
    </row>
    <row r="341" spans="1:10" ht="15.75" customHeight="1" x14ac:dyDescent="0.25">
      <c r="A341" s="6" t="s">
        <v>53</v>
      </c>
      <c r="B341" s="10">
        <v>2040</v>
      </c>
      <c r="C341" s="12">
        <v>206677</v>
      </c>
      <c r="D341" s="12">
        <v>147412</v>
      </c>
      <c r="E341" s="11">
        <f>Tasas_Informalidad_Proy!$P$20</f>
        <v>70.061300000000003</v>
      </c>
      <c r="F341" s="12">
        <f t="shared" si="20"/>
        <v>103278.76355600002</v>
      </c>
      <c r="G341" s="12">
        <f t="shared" si="21"/>
        <v>44133.236443999995</v>
      </c>
      <c r="H341" s="16">
        <f>E341-'Historico_GEIH_2007-2026'!$M$20</f>
        <v>-5.4386999999999972</v>
      </c>
      <c r="I341" s="17">
        <f t="shared" si="22"/>
        <v>71.324820855731403</v>
      </c>
      <c r="J341" s="17">
        <f t="shared" si="23"/>
        <v>40.203646921553201</v>
      </c>
    </row>
    <row r="342" spans="1:10" ht="15.75" customHeight="1" x14ac:dyDescent="0.25">
      <c r="A342" s="8" t="s">
        <v>54</v>
      </c>
      <c r="B342" s="13">
        <v>2040</v>
      </c>
      <c r="C342" s="15">
        <v>383509</v>
      </c>
      <c r="D342" s="15">
        <v>270693</v>
      </c>
      <c r="E342" s="14">
        <f>Tasas_Informalidad_Proy!$P$21</f>
        <v>63.7622</v>
      </c>
      <c r="F342" s="15">
        <f t="shared" si="20"/>
        <v>172599.81204599998</v>
      </c>
      <c r="G342" s="15">
        <f t="shared" si="21"/>
        <v>98093.187953999994</v>
      </c>
      <c r="H342" s="18">
        <f>E342-'Historico_GEIH_2007-2026'!$M$21</f>
        <v>-5.2378</v>
      </c>
      <c r="I342" s="19">
        <f t="shared" si="22"/>
        <v>70.583219689759559</v>
      </c>
      <c r="J342" s="19">
        <f t="shared" si="23"/>
        <v>41.676733421255811</v>
      </c>
    </row>
    <row r="343" spans="1:10" ht="15.75" customHeight="1" x14ac:dyDescent="0.25">
      <c r="A343" s="6" t="s">
        <v>55</v>
      </c>
      <c r="B343" s="10">
        <v>2040</v>
      </c>
      <c r="C343" s="12">
        <v>792981</v>
      </c>
      <c r="D343" s="12">
        <v>565976</v>
      </c>
      <c r="E343" s="11">
        <f>Tasas_Informalidad_Proy!$P$22</f>
        <v>62.207700000000003</v>
      </c>
      <c r="F343" s="12">
        <f t="shared" si="20"/>
        <v>352080.652152</v>
      </c>
      <c r="G343" s="12">
        <f t="shared" si="21"/>
        <v>213895.347848</v>
      </c>
      <c r="H343" s="16">
        <f>E343-'Historico_GEIH_2007-2026'!$M$22</f>
        <v>-5.3922999999999917</v>
      </c>
      <c r="I343" s="17">
        <f t="shared" si="22"/>
        <v>71.373210707444443</v>
      </c>
      <c r="J343" s="17">
        <f t="shared" si="23"/>
        <v>40.108591177011036</v>
      </c>
    </row>
    <row r="344" spans="1:10" ht="15.75" customHeight="1" x14ac:dyDescent="0.25">
      <c r="A344" s="8" t="s">
        <v>56</v>
      </c>
      <c r="B344" s="13">
        <v>2040</v>
      </c>
      <c r="C344" s="15">
        <v>157822</v>
      </c>
      <c r="D344" s="15">
        <v>112139</v>
      </c>
      <c r="E344" s="14">
        <f>Tasas_Informalidad_Proy!$P$23</f>
        <v>73.076400000000007</v>
      </c>
      <c r="F344" s="15">
        <f t="shared" si="20"/>
        <v>81947.144196000008</v>
      </c>
      <c r="G344" s="15">
        <f t="shared" si="21"/>
        <v>30191.855803999992</v>
      </c>
      <c r="H344" s="18">
        <f>E344-'Historico_GEIH_2007-2026'!$M$23</f>
        <v>-5.4235999999999933</v>
      </c>
      <c r="I344" s="19">
        <f t="shared" si="22"/>
        <v>71.054098921569874</v>
      </c>
      <c r="J344" s="19">
        <f t="shared" si="23"/>
        <v>40.737834294937528</v>
      </c>
    </row>
    <row r="345" spans="1:10" ht="15.75" customHeight="1" x14ac:dyDescent="0.25">
      <c r="A345" s="6" t="s">
        <v>57</v>
      </c>
      <c r="B345" s="10">
        <v>2040</v>
      </c>
      <c r="C345" s="12">
        <v>468182</v>
      </c>
      <c r="D345" s="12">
        <v>328226</v>
      </c>
      <c r="E345" s="11">
        <f>Tasas_Informalidad_Proy!$P$24</f>
        <v>59.682000000000002</v>
      </c>
      <c r="F345" s="12">
        <f t="shared" si="20"/>
        <v>195891.84132000001</v>
      </c>
      <c r="G345" s="12">
        <f t="shared" si="21"/>
        <v>132334.15867999999</v>
      </c>
      <c r="H345" s="16">
        <f>E345-'Historico_GEIH_2007-2026'!$M$24</f>
        <v>-5.3179999999999978</v>
      </c>
      <c r="I345" s="17">
        <f t="shared" si="22"/>
        <v>70.106497046020564</v>
      </c>
      <c r="J345" s="17">
        <f t="shared" si="23"/>
        <v>42.640132104099003</v>
      </c>
    </row>
    <row r="346" spans="1:10" ht="15.75" customHeight="1" x14ac:dyDescent="0.25">
      <c r="A346" s="8" t="s">
        <v>58</v>
      </c>
      <c r="B346" s="13">
        <v>2040</v>
      </c>
      <c r="C346" s="15">
        <v>212171</v>
      </c>
      <c r="D346" s="15">
        <v>149438</v>
      </c>
      <c r="E346" s="14">
        <f>Tasas_Informalidad_Proy!$P$25</f>
        <v>67.875799999999998</v>
      </c>
      <c r="F346" s="15">
        <f t="shared" si="20"/>
        <v>101432.238004</v>
      </c>
      <c r="G346" s="15">
        <f t="shared" si="21"/>
        <v>48005.761996000001</v>
      </c>
      <c r="H346" s="18">
        <f>E346-'Historico_GEIH_2007-2026'!$M$25</f>
        <v>-5.424199999999999</v>
      </c>
      <c r="I346" s="19">
        <f t="shared" si="22"/>
        <v>70.432811270154744</v>
      </c>
      <c r="J346" s="19">
        <f t="shared" si="23"/>
        <v>41.979282377976155</v>
      </c>
    </row>
    <row r="347" spans="1:10" ht="15.75" customHeight="1" x14ac:dyDescent="0.25">
      <c r="A347" s="6" t="s">
        <v>59</v>
      </c>
      <c r="B347" s="10">
        <v>2040</v>
      </c>
      <c r="C347" s="12">
        <v>640269</v>
      </c>
      <c r="D347" s="12">
        <v>461811</v>
      </c>
      <c r="E347" s="11">
        <f>Tasas_Informalidad_Proy!$P$26</f>
        <v>53.381</v>
      </c>
      <c r="F347" s="12">
        <f t="shared" si="20"/>
        <v>246519.32991</v>
      </c>
      <c r="G347" s="12">
        <f t="shared" si="21"/>
        <v>215291.67009</v>
      </c>
      <c r="H347" s="16">
        <f>E347-'Historico_GEIH_2007-2026'!$M$26</f>
        <v>-5.3190000000000026</v>
      </c>
      <c r="I347" s="17">
        <f t="shared" si="22"/>
        <v>72.127652596018237</v>
      </c>
      <c r="J347" s="17">
        <f t="shared" si="23"/>
        <v>38.643081260515665</v>
      </c>
    </row>
    <row r="348" spans="1:10" ht="15.75" customHeight="1" x14ac:dyDescent="0.25">
      <c r="A348" s="8" t="s">
        <v>60</v>
      </c>
      <c r="B348" s="13">
        <v>2040</v>
      </c>
      <c r="C348" s="15">
        <v>300477</v>
      </c>
      <c r="D348" s="15">
        <v>200909</v>
      </c>
      <c r="E348" s="14">
        <f>Tasas_Informalidad_Proy!$P$27</f>
        <v>49.554900000000004</v>
      </c>
      <c r="F348" s="15">
        <f t="shared" si="20"/>
        <v>99560.254041000007</v>
      </c>
      <c r="G348" s="15">
        <f t="shared" si="21"/>
        <v>101348.74595899999</v>
      </c>
      <c r="H348" s="18">
        <f>E348-'Historico_GEIH_2007-2026'!$M$27</f>
        <v>-5.4450999999999965</v>
      </c>
      <c r="I348" s="19">
        <f t="shared" si="22"/>
        <v>66.863353933911753</v>
      </c>
      <c r="J348" s="19">
        <f t="shared" si="23"/>
        <v>49.558755456450434</v>
      </c>
    </row>
    <row r="349" spans="1:10" ht="15.75" customHeight="1" x14ac:dyDescent="0.25">
      <c r="A349" s="6" t="s">
        <v>61</v>
      </c>
      <c r="B349" s="10">
        <v>2040</v>
      </c>
      <c r="C349" s="12">
        <v>388204</v>
      </c>
      <c r="D349" s="12">
        <v>271214</v>
      </c>
      <c r="E349" s="11">
        <f>Tasas_Informalidad_Proy!$P$28</f>
        <v>62.854900000000001</v>
      </c>
      <c r="F349" s="12">
        <f t="shared" si="20"/>
        <v>170471.288486</v>
      </c>
      <c r="G349" s="12">
        <f t="shared" si="21"/>
        <v>100742.711514</v>
      </c>
      <c r="H349" s="16">
        <f>E349-'Historico_GEIH_2007-2026'!$M$28</f>
        <v>-5.4450999999999965</v>
      </c>
      <c r="I349" s="17">
        <f t="shared" si="22"/>
        <v>69.863782959474918</v>
      </c>
      <c r="J349" s="17">
        <f t="shared" si="23"/>
        <v>43.135678836638228</v>
      </c>
    </row>
    <row r="350" spans="1:10" ht="15.75" customHeight="1" x14ac:dyDescent="0.25">
      <c r="A350" s="6" t="s">
        <v>39</v>
      </c>
      <c r="B350" s="10">
        <v>2041</v>
      </c>
      <c r="C350" s="12">
        <v>7600876</v>
      </c>
      <c r="D350" s="12">
        <v>5333303</v>
      </c>
      <c r="E350" s="11">
        <f>Tasas_Informalidad_Proy!$Q$6</f>
        <v>36.815899999999999</v>
      </c>
      <c r="F350" s="12">
        <f t="shared" si="20"/>
        <v>1963503.499177</v>
      </c>
      <c r="G350" s="12">
        <f t="shared" si="21"/>
        <v>3369799.500823</v>
      </c>
      <c r="H350" s="16">
        <f>E350-'Historico_GEIH_2007-2026'!$M$6</f>
        <v>-5.7841000000000022</v>
      </c>
      <c r="I350" s="17">
        <f t="shared" si="22"/>
        <v>70.166951809238824</v>
      </c>
      <c r="J350" s="17">
        <f t="shared" si="23"/>
        <v>42.517235566777281</v>
      </c>
    </row>
    <row r="351" spans="1:10" ht="15.75" customHeight="1" x14ac:dyDescent="0.25">
      <c r="A351" s="8" t="s">
        <v>40</v>
      </c>
      <c r="B351" s="13">
        <v>2041</v>
      </c>
      <c r="C351" s="15">
        <v>2397892</v>
      </c>
      <c r="D351" s="15">
        <v>1637210</v>
      </c>
      <c r="E351" s="14">
        <f>Tasas_Informalidad_Proy!$Q$7</f>
        <v>35.932299999999998</v>
      </c>
      <c r="F351" s="15">
        <f t="shared" si="20"/>
        <v>588287.2088299999</v>
      </c>
      <c r="G351" s="15">
        <f t="shared" si="21"/>
        <v>1048922.7911699999</v>
      </c>
      <c r="H351" s="18">
        <f>E351-'Historico_GEIH_2007-2026'!$M$7</f>
        <v>-7.2677000000000049</v>
      </c>
      <c r="I351" s="19">
        <f t="shared" si="22"/>
        <v>68.277053345188193</v>
      </c>
      <c r="J351" s="19">
        <f t="shared" si="23"/>
        <v>46.462090996268039</v>
      </c>
    </row>
    <row r="352" spans="1:10" ht="15.75" customHeight="1" x14ac:dyDescent="0.25">
      <c r="A352" s="6" t="s">
        <v>41</v>
      </c>
      <c r="B352" s="10">
        <v>2041</v>
      </c>
      <c r="C352" s="12">
        <v>2092738</v>
      </c>
      <c r="D352" s="12">
        <v>1418983</v>
      </c>
      <c r="E352" s="11">
        <f>Tasas_Informalidad_Proy!$Q$8</f>
        <v>43.401899999999998</v>
      </c>
      <c r="F352" s="12">
        <f t="shared" si="20"/>
        <v>615865.58267699997</v>
      </c>
      <c r="G352" s="12">
        <f t="shared" si="21"/>
        <v>803117.41732300015</v>
      </c>
      <c r="H352" s="16">
        <f>E352-'Historico_GEIH_2007-2026'!$M$8</f>
        <v>-6.8980999999999995</v>
      </c>
      <c r="I352" s="17">
        <f t="shared" si="22"/>
        <v>67.805095525574629</v>
      </c>
      <c r="J352" s="17">
        <f t="shared" si="23"/>
        <v>47.481541357436981</v>
      </c>
    </row>
    <row r="353" spans="1:10" ht="15.75" customHeight="1" x14ac:dyDescent="0.25">
      <c r="A353" s="8" t="s">
        <v>42</v>
      </c>
      <c r="B353" s="13">
        <v>2041</v>
      </c>
      <c r="C353" s="15">
        <v>1194028</v>
      </c>
      <c r="D353" s="15">
        <v>814686</v>
      </c>
      <c r="E353" s="14">
        <f>Tasas_Informalidad_Proy!$Q$9</f>
        <v>50.448700000000002</v>
      </c>
      <c r="F353" s="15">
        <f t="shared" si="20"/>
        <v>410998.49608199997</v>
      </c>
      <c r="G353" s="15">
        <f t="shared" si="21"/>
        <v>403687.50391799997</v>
      </c>
      <c r="H353" s="18">
        <f>E353-'Historico_GEIH_2007-2026'!$M$9</f>
        <v>-5.7513000000000005</v>
      </c>
      <c r="I353" s="19">
        <f t="shared" si="22"/>
        <v>68.230058256590297</v>
      </c>
      <c r="J353" s="19">
        <f t="shared" si="23"/>
        <v>46.562970273209551</v>
      </c>
    </row>
    <row r="354" spans="1:10" ht="15.75" customHeight="1" x14ac:dyDescent="0.25">
      <c r="A354" s="6" t="s">
        <v>43</v>
      </c>
      <c r="B354" s="10">
        <v>2041</v>
      </c>
      <c r="C354" s="12">
        <v>612361</v>
      </c>
      <c r="D354" s="12">
        <v>411369</v>
      </c>
      <c r="E354" s="11">
        <f>Tasas_Informalidad_Proy!$Q$10</f>
        <v>55.22</v>
      </c>
      <c r="F354" s="12">
        <f t="shared" si="20"/>
        <v>227157.96179999999</v>
      </c>
      <c r="G354" s="12">
        <f t="shared" si="21"/>
        <v>184211.03819999998</v>
      </c>
      <c r="H354" s="16">
        <f>E354-'Historico_GEIH_2007-2026'!$M$10</f>
        <v>-7.18</v>
      </c>
      <c r="I354" s="17">
        <f t="shared" si="22"/>
        <v>67.177530900890162</v>
      </c>
      <c r="J354" s="17">
        <f t="shared" si="23"/>
        <v>48.859296641215067</v>
      </c>
    </row>
    <row r="355" spans="1:10" ht="15.75" customHeight="1" x14ac:dyDescent="0.25">
      <c r="A355" s="8" t="s">
        <v>44</v>
      </c>
      <c r="B355" s="13">
        <v>2041</v>
      </c>
      <c r="C355" s="15">
        <v>507303</v>
      </c>
      <c r="D355" s="15">
        <v>345376</v>
      </c>
      <c r="E355" s="14">
        <f>Tasas_Informalidad_Proy!$Q$11</f>
        <v>43.347799999999999</v>
      </c>
      <c r="F355" s="15">
        <f t="shared" si="20"/>
        <v>149712.89772800001</v>
      </c>
      <c r="G355" s="15">
        <f t="shared" si="21"/>
        <v>195663.10227199999</v>
      </c>
      <c r="H355" s="18">
        <f>E355-'Historico_GEIH_2007-2026'!$M$11</f>
        <v>-6.5521999999999991</v>
      </c>
      <c r="I355" s="19">
        <f t="shared" si="22"/>
        <v>68.080811664823585</v>
      </c>
      <c r="J355" s="19">
        <f t="shared" si="23"/>
        <v>46.8842652645233</v>
      </c>
    </row>
    <row r="356" spans="1:10" ht="15.75" customHeight="1" x14ac:dyDescent="0.25">
      <c r="A356" s="6" t="s">
        <v>45</v>
      </c>
      <c r="B356" s="10">
        <v>2041</v>
      </c>
      <c r="C356" s="12">
        <v>398863</v>
      </c>
      <c r="D356" s="12">
        <v>286423</v>
      </c>
      <c r="E356" s="11">
        <f>Tasas_Informalidad_Proy!$Q$12</f>
        <v>63.613900000000001</v>
      </c>
      <c r="F356" s="12">
        <f t="shared" si="20"/>
        <v>182204.84079700001</v>
      </c>
      <c r="G356" s="12">
        <f t="shared" si="21"/>
        <v>104218.159203</v>
      </c>
      <c r="H356" s="16">
        <f>E356-'Historico_GEIH_2007-2026'!$M$12</f>
        <v>-5.2861000000000047</v>
      </c>
      <c r="I356" s="17">
        <f t="shared" si="22"/>
        <v>71.809869554207836</v>
      </c>
      <c r="J356" s="17">
        <f t="shared" si="23"/>
        <v>39.256623944306149</v>
      </c>
    </row>
    <row r="357" spans="1:10" ht="15.75" customHeight="1" x14ac:dyDescent="0.25">
      <c r="A357" s="8" t="s">
        <v>46</v>
      </c>
      <c r="B357" s="13">
        <v>2041</v>
      </c>
      <c r="C357" s="15">
        <v>469012</v>
      </c>
      <c r="D357" s="15">
        <v>316179</v>
      </c>
      <c r="E357" s="14">
        <f>Tasas_Informalidad_Proy!$Q$13</f>
        <v>51.5184</v>
      </c>
      <c r="F357" s="15">
        <f t="shared" si="20"/>
        <v>162890.361936</v>
      </c>
      <c r="G357" s="15">
        <f t="shared" si="21"/>
        <v>153288.638064</v>
      </c>
      <c r="H357" s="18">
        <f>E357-'Historico_GEIH_2007-2026'!$M$13</f>
        <v>-5.9816000000000003</v>
      </c>
      <c r="I357" s="19">
        <f t="shared" si="22"/>
        <v>67.413840157607908</v>
      </c>
      <c r="J357" s="19">
        <f t="shared" si="23"/>
        <v>48.337492369828482</v>
      </c>
    </row>
    <row r="358" spans="1:10" ht="15.75" customHeight="1" x14ac:dyDescent="0.25">
      <c r="A358" s="6" t="s">
        <v>47</v>
      </c>
      <c r="B358" s="10">
        <v>2041</v>
      </c>
      <c r="C358" s="12">
        <v>755417</v>
      </c>
      <c r="D358" s="12">
        <v>530398</v>
      </c>
      <c r="E358" s="11">
        <f>Tasas_Informalidad_Proy!$Q$14</f>
        <v>63.395400000000002</v>
      </c>
      <c r="F358" s="12">
        <f t="shared" si="20"/>
        <v>336247.93369199999</v>
      </c>
      <c r="G358" s="12">
        <f t="shared" si="21"/>
        <v>194150.06630799998</v>
      </c>
      <c r="H358" s="16">
        <f>E358-'Historico_GEIH_2007-2026'!$M$14</f>
        <v>-6.904599999999995</v>
      </c>
      <c r="I358" s="17">
        <f t="shared" si="22"/>
        <v>70.212611047937756</v>
      </c>
      <c r="J358" s="17">
        <f t="shared" si="23"/>
        <v>42.424556653682707</v>
      </c>
    </row>
    <row r="359" spans="1:10" ht="15.75" customHeight="1" x14ac:dyDescent="0.25">
      <c r="A359" s="8" t="s">
        <v>48</v>
      </c>
      <c r="B359" s="13">
        <v>2041</v>
      </c>
      <c r="C359" s="15">
        <v>572262</v>
      </c>
      <c r="D359" s="15">
        <v>390932</v>
      </c>
      <c r="E359" s="14">
        <f>Tasas_Informalidad_Proy!$Q$15</f>
        <v>55.205100000000002</v>
      </c>
      <c r="F359" s="15">
        <f t="shared" si="20"/>
        <v>215814.40153200002</v>
      </c>
      <c r="G359" s="15">
        <f t="shared" si="21"/>
        <v>175117.59846799998</v>
      </c>
      <c r="H359" s="18">
        <f>E359-'Historico_GEIH_2007-2026'!$M$15</f>
        <v>-5.2948999999999984</v>
      </c>
      <c r="I359" s="19">
        <f t="shared" si="22"/>
        <v>68.313464811572317</v>
      </c>
      <c r="J359" s="19">
        <f t="shared" si="23"/>
        <v>46.384025866391084</v>
      </c>
    </row>
    <row r="360" spans="1:10" ht="15.75" customHeight="1" x14ac:dyDescent="0.25">
      <c r="A360" s="6" t="s">
        <v>49</v>
      </c>
      <c r="B360" s="10">
        <v>2041</v>
      </c>
      <c r="C360" s="12">
        <v>718316</v>
      </c>
      <c r="D360" s="12">
        <v>499912</v>
      </c>
      <c r="E360" s="11">
        <f>Tasas_Informalidad_Proy!$Q$16</f>
        <v>68.340900000000005</v>
      </c>
      <c r="F360" s="12">
        <f t="shared" si="20"/>
        <v>341644.36000800005</v>
      </c>
      <c r="G360" s="12">
        <f t="shared" si="21"/>
        <v>158267.63999199998</v>
      </c>
      <c r="H360" s="16">
        <f>E360-'Historico_GEIH_2007-2026'!$M$16</f>
        <v>-6.0591000000000008</v>
      </c>
      <c r="I360" s="17">
        <f t="shared" si="22"/>
        <v>69.594997187867179</v>
      </c>
      <c r="J360" s="17">
        <f t="shared" si="23"/>
        <v>43.688489174094641</v>
      </c>
    </row>
    <row r="361" spans="1:10" ht="15.75" customHeight="1" x14ac:dyDescent="0.25">
      <c r="A361" s="8" t="s">
        <v>50</v>
      </c>
      <c r="B361" s="13">
        <v>2041</v>
      </c>
      <c r="C361" s="15">
        <v>977001</v>
      </c>
      <c r="D361" s="15">
        <v>663387</v>
      </c>
      <c r="E361" s="14">
        <f>Tasas_Informalidad_Proy!$Q$17</f>
        <v>50.552100000000003</v>
      </c>
      <c r="F361" s="15">
        <f t="shared" si="20"/>
        <v>335356.05962700001</v>
      </c>
      <c r="G361" s="15">
        <f t="shared" si="21"/>
        <v>328030.94037299999</v>
      </c>
      <c r="H361" s="18">
        <f>E361-'Historico_GEIH_2007-2026'!$M$17</f>
        <v>-5.5478999999999985</v>
      </c>
      <c r="I361" s="19">
        <f t="shared" si="22"/>
        <v>67.900339917768761</v>
      </c>
      <c r="J361" s="19">
        <f t="shared" si="23"/>
        <v>47.274667727887341</v>
      </c>
    </row>
    <row r="362" spans="1:10" ht="15.75" customHeight="1" x14ac:dyDescent="0.25">
      <c r="A362" s="6" t="s">
        <v>51</v>
      </c>
      <c r="B362" s="10">
        <v>2041</v>
      </c>
      <c r="C362" s="12">
        <v>635029</v>
      </c>
      <c r="D362" s="12">
        <v>446576</v>
      </c>
      <c r="E362" s="11">
        <f>Tasas_Informalidad_Proy!$Q$18</f>
        <v>55.630400000000002</v>
      </c>
      <c r="F362" s="12">
        <f t="shared" si="20"/>
        <v>248432.01510400002</v>
      </c>
      <c r="G362" s="12">
        <f t="shared" si="21"/>
        <v>198143.98489599998</v>
      </c>
      <c r="H362" s="16">
        <f>E362-'Historico_GEIH_2007-2026'!$M$18</f>
        <v>-5.6695999999999955</v>
      </c>
      <c r="I362" s="17">
        <f t="shared" si="22"/>
        <v>70.323717499515766</v>
      </c>
      <c r="J362" s="17">
        <f t="shared" si="23"/>
        <v>42.199536025223026</v>
      </c>
    </row>
    <row r="363" spans="1:10" ht="15.75" customHeight="1" x14ac:dyDescent="0.25">
      <c r="A363" s="8" t="s">
        <v>52</v>
      </c>
      <c r="B363" s="13">
        <v>2041</v>
      </c>
      <c r="C363" s="15">
        <v>223636</v>
      </c>
      <c r="D363" s="15">
        <v>160844</v>
      </c>
      <c r="E363" s="14">
        <f>Tasas_Informalidad_Proy!$Q$19</f>
        <v>55.680599999999998</v>
      </c>
      <c r="F363" s="15">
        <f t="shared" si="20"/>
        <v>89558.904263999997</v>
      </c>
      <c r="G363" s="15">
        <f t="shared" si="21"/>
        <v>71285.095736000003</v>
      </c>
      <c r="H363" s="18">
        <f>E363-'Historico_GEIH_2007-2026'!$M$19</f>
        <v>-5.5194000000000045</v>
      </c>
      <c r="I363" s="19">
        <f t="shared" si="22"/>
        <v>71.922230767854913</v>
      </c>
      <c r="J363" s="19">
        <f t="shared" si="23"/>
        <v>39.039068911491881</v>
      </c>
    </row>
    <row r="364" spans="1:10" ht="15.75" customHeight="1" x14ac:dyDescent="0.25">
      <c r="A364" s="6" t="s">
        <v>53</v>
      </c>
      <c r="B364" s="10">
        <v>2041</v>
      </c>
      <c r="C364" s="12">
        <v>207322</v>
      </c>
      <c r="D364" s="12">
        <v>148253</v>
      </c>
      <c r="E364" s="11">
        <f>Tasas_Informalidad_Proy!$Q$20</f>
        <v>69.750799999999998</v>
      </c>
      <c r="F364" s="12">
        <f t="shared" si="20"/>
        <v>103407.65352399999</v>
      </c>
      <c r="G364" s="12">
        <f t="shared" si="21"/>
        <v>44845.346475999999</v>
      </c>
      <c r="H364" s="16">
        <f>E364-'Historico_GEIH_2007-2026'!$M$20</f>
        <v>-5.7492000000000019</v>
      </c>
      <c r="I364" s="17">
        <f t="shared" si="22"/>
        <v>71.508571208072468</v>
      </c>
      <c r="J364" s="17">
        <f t="shared" si="23"/>
        <v>39.843375850741637</v>
      </c>
    </row>
    <row r="365" spans="1:10" ht="15.75" customHeight="1" x14ac:dyDescent="0.25">
      <c r="A365" s="8" t="s">
        <v>54</v>
      </c>
      <c r="B365" s="13">
        <v>2041</v>
      </c>
      <c r="C365" s="15">
        <v>384371</v>
      </c>
      <c r="D365" s="15">
        <v>271374</v>
      </c>
      <c r="E365" s="14">
        <f>Tasas_Informalidad_Proy!$Q$21</f>
        <v>63.464399999999998</v>
      </c>
      <c r="F365" s="15">
        <f t="shared" si="20"/>
        <v>172225.880856</v>
      </c>
      <c r="G365" s="15">
        <f t="shared" si="21"/>
        <v>99148.119143999997</v>
      </c>
      <c r="H365" s="18">
        <f>E365-'Historico_GEIH_2007-2026'!$M$21</f>
        <v>-5.5356000000000023</v>
      </c>
      <c r="I365" s="19">
        <f t="shared" si="22"/>
        <v>70.602100574705162</v>
      </c>
      <c r="J365" s="19">
        <f t="shared" si="23"/>
        <v>41.638845283630708</v>
      </c>
    </row>
    <row r="366" spans="1:10" ht="15.75" customHeight="1" x14ac:dyDescent="0.25">
      <c r="A366" s="6" t="s">
        <v>55</v>
      </c>
      <c r="B366" s="10">
        <v>2041</v>
      </c>
      <c r="C366" s="12">
        <v>803407</v>
      </c>
      <c r="D366" s="12">
        <v>575260</v>
      </c>
      <c r="E366" s="11">
        <f>Tasas_Informalidad_Proy!$Q$22</f>
        <v>61.9041</v>
      </c>
      <c r="F366" s="12">
        <f t="shared" si="20"/>
        <v>356109.52565999998</v>
      </c>
      <c r="G366" s="12">
        <f t="shared" si="21"/>
        <v>219150.47434000002</v>
      </c>
      <c r="H366" s="16">
        <f>E366-'Historico_GEIH_2007-2026'!$M$22</f>
        <v>-5.6958999999999946</v>
      </c>
      <c r="I366" s="17">
        <f t="shared" si="22"/>
        <v>71.602562586584384</v>
      </c>
      <c r="J366" s="17">
        <f t="shared" si="23"/>
        <v>39.659806000764867</v>
      </c>
    </row>
    <row r="367" spans="1:10" ht="15.75" customHeight="1" x14ac:dyDescent="0.25">
      <c r="A367" s="8" t="s">
        <v>56</v>
      </c>
      <c r="B367" s="13">
        <v>2041</v>
      </c>
      <c r="C367" s="15">
        <v>158445</v>
      </c>
      <c r="D367" s="15">
        <v>113036</v>
      </c>
      <c r="E367" s="14">
        <f>Tasas_Informalidad_Proy!$Q$23</f>
        <v>72.765500000000003</v>
      </c>
      <c r="F367" s="15">
        <f t="shared" si="20"/>
        <v>82251.210579999999</v>
      </c>
      <c r="G367" s="15">
        <f t="shared" si="21"/>
        <v>30784.789419999994</v>
      </c>
      <c r="H367" s="18">
        <f>E367-'Historico_GEIH_2007-2026'!$M$23</f>
        <v>-5.734499999999997</v>
      </c>
      <c r="I367" s="19">
        <f t="shared" si="22"/>
        <v>71.340843825933291</v>
      </c>
      <c r="J367" s="19">
        <f t="shared" si="23"/>
        <v>40.172157542729749</v>
      </c>
    </row>
    <row r="368" spans="1:10" ht="15.75" customHeight="1" x14ac:dyDescent="0.25">
      <c r="A368" s="6" t="s">
        <v>57</v>
      </c>
      <c r="B368" s="10">
        <v>2041</v>
      </c>
      <c r="C368" s="12">
        <v>470942</v>
      </c>
      <c r="D368" s="12">
        <v>330941</v>
      </c>
      <c r="E368" s="11">
        <f>Tasas_Informalidad_Proy!$Q$24</f>
        <v>59.383899999999997</v>
      </c>
      <c r="F368" s="12">
        <f t="shared" si="20"/>
        <v>196525.67249899998</v>
      </c>
      <c r="G368" s="12">
        <f t="shared" si="21"/>
        <v>134415.32750099999</v>
      </c>
      <c r="H368" s="16">
        <f>E368-'Historico_GEIH_2007-2026'!$M$24</f>
        <v>-5.616100000000003</v>
      </c>
      <c r="I368" s="17">
        <f t="shared" si="22"/>
        <v>70.272135422196371</v>
      </c>
      <c r="J368" s="17">
        <f t="shared" si="23"/>
        <v>42.303915199385997</v>
      </c>
    </row>
    <row r="369" spans="1:10" ht="15.75" customHeight="1" x14ac:dyDescent="0.25">
      <c r="A369" s="8" t="s">
        <v>58</v>
      </c>
      <c r="B369" s="13">
        <v>2041</v>
      </c>
      <c r="C369" s="15">
        <v>211497</v>
      </c>
      <c r="D369" s="15">
        <v>149547</v>
      </c>
      <c r="E369" s="14">
        <f>Tasas_Informalidad_Proy!$Q$25</f>
        <v>67.569400000000002</v>
      </c>
      <c r="F369" s="15">
        <f t="shared" si="20"/>
        <v>101048.010618</v>
      </c>
      <c r="G369" s="15">
        <f t="shared" si="21"/>
        <v>48498.989382</v>
      </c>
      <c r="H369" s="18">
        <f>E369-'Historico_GEIH_2007-2026'!$M$25</f>
        <v>-5.7305999999999955</v>
      </c>
      <c r="I369" s="19">
        <f t="shared" si="22"/>
        <v>70.708804380203972</v>
      </c>
      <c r="J369" s="19">
        <f t="shared" si="23"/>
        <v>41.42510381351682</v>
      </c>
    </row>
    <row r="370" spans="1:10" ht="15.75" customHeight="1" x14ac:dyDescent="0.25">
      <c r="A370" s="6" t="s">
        <v>59</v>
      </c>
      <c r="B370" s="10">
        <v>2041</v>
      </c>
      <c r="C370" s="12">
        <v>641922</v>
      </c>
      <c r="D370" s="12">
        <v>464232</v>
      </c>
      <c r="E370" s="11">
        <f>Tasas_Informalidad_Proy!$Q$26</f>
        <v>53.085099999999997</v>
      </c>
      <c r="F370" s="12">
        <f t="shared" si="20"/>
        <v>246438.02143199998</v>
      </c>
      <c r="G370" s="12">
        <f t="shared" si="21"/>
        <v>217793.97856800002</v>
      </c>
      <c r="H370" s="16">
        <f>E370-'Historico_GEIH_2007-2026'!$M$26</f>
        <v>-5.6149000000000058</v>
      </c>
      <c r="I370" s="17">
        <f t="shared" si="22"/>
        <v>72.319066802508715</v>
      </c>
      <c r="J370" s="17">
        <f t="shared" si="23"/>
        <v>38.276120560409446</v>
      </c>
    </row>
    <row r="371" spans="1:10" ht="15.75" customHeight="1" x14ac:dyDescent="0.25">
      <c r="A371" s="8" t="s">
        <v>60</v>
      </c>
      <c r="B371" s="13">
        <v>2041</v>
      </c>
      <c r="C371" s="15">
        <v>298951</v>
      </c>
      <c r="D371" s="15">
        <v>199915</v>
      </c>
      <c r="E371" s="14">
        <f>Tasas_Informalidad_Proy!$Q$27</f>
        <v>49.257800000000003</v>
      </c>
      <c r="F371" s="15">
        <f t="shared" si="20"/>
        <v>98473.730870000014</v>
      </c>
      <c r="G371" s="15">
        <f t="shared" si="21"/>
        <v>101441.26913000002</v>
      </c>
      <c r="H371" s="18">
        <f>E371-'Historico_GEIH_2007-2026'!$M$27</f>
        <v>-5.7421999999999969</v>
      </c>
      <c r="I371" s="19">
        <f t="shared" si="22"/>
        <v>66.872162996611479</v>
      </c>
      <c r="J371" s="19">
        <f t="shared" si="23"/>
        <v>49.539054097991645</v>
      </c>
    </row>
    <row r="372" spans="1:10" ht="15.75" customHeight="1" x14ac:dyDescent="0.25">
      <c r="A372" s="6" t="s">
        <v>61</v>
      </c>
      <c r="B372" s="10">
        <v>2041</v>
      </c>
      <c r="C372" s="12">
        <v>391057</v>
      </c>
      <c r="D372" s="12">
        <v>273902</v>
      </c>
      <c r="E372" s="11">
        <f>Tasas_Informalidad_Proy!$Q$28</f>
        <v>62.549500000000002</v>
      </c>
      <c r="F372" s="12">
        <f t="shared" si="20"/>
        <v>171324.33149000001</v>
      </c>
      <c r="G372" s="12">
        <f t="shared" si="21"/>
        <v>102577.66850999999</v>
      </c>
      <c r="H372" s="16">
        <f>E372-'Historico_GEIH_2007-2026'!$M$28</f>
        <v>-5.7504999999999953</v>
      </c>
      <c r="I372" s="17">
        <f t="shared" si="22"/>
        <v>70.041451757672164</v>
      </c>
      <c r="J372" s="17">
        <f t="shared" si="23"/>
        <v>42.772597498375333</v>
      </c>
    </row>
    <row r="373" spans="1:10" ht="15.75" customHeight="1" x14ac:dyDescent="0.25">
      <c r="A373" s="6" t="s">
        <v>39</v>
      </c>
      <c r="B373" s="10">
        <v>2042</v>
      </c>
      <c r="C373" s="12">
        <v>7556041</v>
      </c>
      <c r="D373" s="12">
        <v>5286986</v>
      </c>
      <c r="E373" s="11">
        <f>Tasas_Informalidad_Proy!$R$6</f>
        <v>36.529299999999999</v>
      </c>
      <c r="F373" s="12">
        <f t="shared" si="20"/>
        <v>1931298.9768979999</v>
      </c>
      <c r="G373" s="12">
        <f t="shared" si="21"/>
        <v>3355687.0231019999</v>
      </c>
      <c r="H373" s="16">
        <f>E373-'Historico_GEIH_2007-2026'!$M$6</f>
        <v>-6.0707000000000022</v>
      </c>
      <c r="I373" s="17">
        <f t="shared" si="22"/>
        <v>69.970319112879352</v>
      </c>
      <c r="J373" s="17">
        <f t="shared" si="23"/>
        <v>42.917741790880477</v>
      </c>
    </row>
    <row r="374" spans="1:10" ht="15.75" customHeight="1" x14ac:dyDescent="0.25">
      <c r="A374" s="8" t="s">
        <v>40</v>
      </c>
      <c r="B374" s="13">
        <v>2042</v>
      </c>
      <c r="C374" s="15">
        <v>2382344</v>
      </c>
      <c r="D374" s="15">
        <v>1623147</v>
      </c>
      <c r="E374" s="14">
        <f>Tasas_Informalidad_Proy!$R$7</f>
        <v>35.579099999999997</v>
      </c>
      <c r="F374" s="15">
        <f t="shared" si="20"/>
        <v>577501.09427699994</v>
      </c>
      <c r="G374" s="15">
        <f t="shared" si="21"/>
        <v>1045645.9057230001</v>
      </c>
      <c r="H374" s="18">
        <f>E374-'Historico_GEIH_2007-2026'!$M$7</f>
        <v>-7.620900000000006</v>
      </c>
      <c r="I374" s="19">
        <f t="shared" si="22"/>
        <v>68.132352002901342</v>
      </c>
      <c r="J374" s="19">
        <f t="shared" si="23"/>
        <v>46.77315116868651</v>
      </c>
    </row>
    <row r="375" spans="1:10" ht="15.75" customHeight="1" x14ac:dyDescent="0.25">
      <c r="A375" s="6" t="s">
        <v>41</v>
      </c>
      <c r="B375" s="10">
        <v>2042</v>
      </c>
      <c r="C375" s="12">
        <v>2076657</v>
      </c>
      <c r="D375" s="12">
        <v>1405109</v>
      </c>
      <c r="E375" s="11">
        <f>Tasas_Informalidad_Proy!$R$8</f>
        <v>43.063299999999998</v>
      </c>
      <c r="F375" s="12">
        <f t="shared" si="20"/>
        <v>605086.30399699998</v>
      </c>
      <c r="G375" s="12">
        <f t="shared" si="21"/>
        <v>800022.6960029999</v>
      </c>
      <c r="H375" s="16">
        <f>E375-'Historico_GEIH_2007-2026'!$M$8</f>
        <v>-7.236699999999999</v>
      </c>
      <c r="I375" s="17">
        <f t="shared" si="22"/>
        <v>67.662064558566968</v>
      </c>
      <c r="J375" s="17">
        <f t="shared" si="23"/>
        <v>47.793302868318399</v>
      </c>
    </row>
    <row r="376" spans="1:10" ht="15.75" customHeight="1" x14ac:dyDescent="0.25">
      <c r="A376" s="8" t="s">
        <v>42</v>
      </c>
      <c r="B376" s="13">
        <v>2042</v>
      </c>
      <c r="C376" s="15">
        <v>1188753</v>
      </c>
      <c r="D376" s="15">
        <v>810127</v>
      </c>
      <c r="E376" s="14">
        <f>Tasas_Informalidad_Proy!$R$9</f>
        <v>50.148099999999999</v>
      </c>
      <c r="F376" s="15">
        <f t="shared" si="20"/>
        <v>406263.29808700003</v>
      </c>
      <c r="G376" s="15">
        <f t="shared" si="21"/>
        <v>403863.70191300003</v>
      </c>
      <c r="H376" s="18">
        <f>E376-'Historico_GEIH_2007-2026'!$M$9</f>
        <v>-6.0519000000000034</v>
      </c>
      <c r="I376" s="19">
        <f t="shared" si="22"/>
        <v>68.149312767244325</v>
      </c>
      <c r="J376" s="19">
        <f t="shared" si="23"/>
        <v>46.736622776428881</v>
      </c>
    </row>
    <row r="377" spans="1:10" ht="15.75" customHeight="1" x14ac:dyDescent="0.25">
      <c r="A377" s="6" t="s">
        <v>43</v>
      </c>
      <c r="B377" s="10">
        <v>2042</v>
      </c>
      <c r="C377" s="12">
        <v>610880</v>
      </c>
      <c r="D377" s="12">
        <v>409288</v>
      </c>
      <c r="E377" s="11">
        <f>Tasas_Informalidad_Proy!$R$10</f>
        <v>54.852899999999998</v>
      </c>
      <c r="F377" s="12">
        <f t="shared" si="20"/>
        <v>224506.337352</v>
      </c>
      <c r="G377" s="12">
        <f t="shared" si="21"/>
        <v>184781.66264800003</v>
      </c>
      <c r="H377" s="16">
        <f>E377-'Historico_GEIH_2007-2026'!$M$10</f>
        <v>-7.5471000000000004</v>
      </c>
      <c r="I377" s="17">
        <f t="shared" si="22"/>
        <v>66.999738082765845</v>
      </c>
      <c r="J377" s="17">
        <f t="shared" si="23"/>
        <v>49.254314810109264</v>
      </c>
    </row>
    <row r="378" spans="1:10" ht="15.75" customHeight="1" x14ac:dyDescent="0.25">
      <c r="A378" s="8" t="s">
        <v>44</v>
      </c>
      <c r="B378" s="13">
        <v>2042</v>
      </c>
      <c r="C378" s="15">
        <v>507551</v>
      </c>
      <c r="D378" s="15">
        <v>345422</v>
      </c>
      <c r="E378" s="14">
        <f>Tasas_Informalidad_Proy!$R$11</f>
        <v>43.018799999999999</v>
      </c>
      <c r="F378" s="15">
        <f t="shared" si="20"/>
        <v>148596.399336</v>
      </c>
      <c r="G378" s="15">
        <f t="shared" si="21"/>
        <v>196825.600664</v>
      </c>
      <c r="H378" s="18">
        <f>E378-'Historico_GEIH_2007-2026'!$M$11</f>
        <v>-6.8811999999999998</v>
      </c>
      <c r="I378" s="19">
        <f t="shared" si="22"/>
        <v>68.056609089529914</v>
      </c>
      <c r="J378" s="19">
        <f t="shared" si="23"/>
        <v>46.936500859817848</v>
      </c>
    </row>
    <row r="379" spans="1:10" ht="15.75" customHeight="1" x14ac:dyDescent="0.25">
      <c r="A379" s="6" t="s">
        <v>45</v>
      </c>
      <c r="B379" s="10">
        <v>2042</v>
      </c>
      <c r="C379" s="12">
        <v>397480</v>
      </c>
      <c r="D379" s="12">
        <v>285233</v>
      </c>
      <c r="E379" s="11">
        <f>Tasas_Informalidad_Proy!$R$12</f>
        <v>63.339500000000001</v>
      </c>
      <c r="F379" s="12">
        <f t="shared" si="20"/>
        <v>180665.15603500002</v>
      </c>
      <c r="G379" s="12">
        <f t="shared" si="21"/>
        <v>104567.84396499999</v>
      </c>
      <c r="H379" s="16">
        <f>E379-'Historico_GEIH_2007-2026'!$M$12</f>
        <v>-5.5605000000000047</v>
      </c>
      <c r="I379" s="17">
        <f t="shared" si="22"/>
        <v>71.760340142900276</v>
      </c>
      <c r="J379" s="17">
        <f t="shared" si="23"/>
        <v>39.352739690007823</v>
      </c>
    </row>
    <row r="380" spans="1:10" ht="15.75" customHeight="1" x14ac:dyDescent="0.25">
      <c r="A380" s="8" t="s">
        <v>46</v>
      </c>
      <c r="B380" s="13">
        <v>2042</v>
      </c>
      <c r="C380" s="15">
        <v>465968</v>
      </c>
      <c r="D380" s="15">
        <v>314080</v>
      </c>
      <c r="E380" s="14">
        <f>Tasas_Informalidad_Proy!$R$13</f>
        <v>51.201999999999998</v>
      </c>
      <c r="F380" s="15">
        <f t="shared" si="20"/>
        <v>160815.24160000001</v>
      </c>
      <c r="G380" s="15">
        <f t="shared" si="21"/>
        <v>153264.75839999999</v>
      </c>
      <c r="H380" s="18">
        <f>E380-'Historico_GEIH_2007-2026'!$M$13</f>
        <v>-6.2980000000000018</v>
      </c>
      <c r="I380" s="19">
        <f t="shared" si="22"/>
        <v>67.403770215980501</v>
      </c>
      <c r="J380" s="19">
        <f t="shared" si="23"/>
        <v>48.359653591441671</v>
      </c>
    </row>
    <row r="381" spans="1:10" ht="15.75" customHeight="1" x14ac:dyDescent="0.25">
      <c r="A381" s="6" t="s">
        <v>47</v>
      </c>
      <c r="B381" s="10">
        <v>2042</v>
      </c>
      <c r="C381" s="12">
        <v>752748</v>
      </c>
      <c r="D381" s="12">
        <v>528031</v>
      </c>
      <c r="E381" s="11">
        <f>Tasas_Informalidad_Proy!$R$14</f>
        <v>63.036200000000001</v>
      </c>
      <c r="F381" s="12">
        <f t="shared" si="20"/>
        <v>332850.67722199997</v>
      </c>
      <c r="G381" s="12">
        <f t="shared" si="21"/>
        <v>195180.322778</v>
      </c>
      <c r="H381" s="16">
        <f>E381-'Historico_GEIH_2007-2026'!$M$14</f>
        <v>-7.2637999999999963</v>
      </c>
      <c r="I381" s="17">
        <f t="shared" si="22"/>
        <v>70.147114306514268</v>
      </c>
      <c r="J381" s="17">
        <f t="shared" si="23"/>
        <v>42.557539235385796</v>
      </c>
    </row>
    <row r="382" spans="1:10" ht="15.75" customHeight="1" x14ac:dyDescent="0.25">
      <c r="A382" s="8" t="s">
        <v>48</v>
      </c>
      <c r="B382" s="13">
        <v>2042</v>
      </c>
      <c r="C382" s="15">
        <v>571509</v>
      </c>
      <c r="D382" s="15">
        <v>390854</v>
      </c>
      <c r="E382" s="14">
        <f>Tasas_Informalidad_Proy!$R$15</f>
        <v>54.9146</v>
      </c>
      <c r="F382" s="15">
        <f t="shared" si="20"/>
        <v>214635.910684</v>
      </c>
      <c r="G382" s="15">
        <f t="shared" si="21"/>
        <v>176218.089316</v>
      </c>
      <c r="H382" s="18">
        <f>E382-'Historico_GEIH_2007-2026'!$M$15</f>
        <v>-5.5853999999999999</v>
      </c>
      <c r="I382" s="19">
        <f t="shared" si="22"/>
        <v>68.389824132253381</v>
      </c>
      <c r="J382" s="19">
        <f t="shared" si="23"/>
        <v>46.220583645043931</v>
      </c>
    </row>
    <row r="383" spans="1:10" ht="15.75" customHeight="1" x14ac:dyDescent="0.25">
      <c r="A383" s="6" t="s">
        <v>49</v>
      </c>
      <c r="B383" s="10">
        <v>2042</v>
      </c>
      <c r="C383" s="12">
        <v>725608</v>
      </c>
      <c r="D383" s="12">
        <v>506116</v>
      </c>
      <c r="E383" s="11">
        <f>Tasas_Informalidad_Proy!$R$16</f>
        <v>68.020799999999994</v>
      </c>
      <c r="F383" s="12">
        <f t="shared" si="20"/>
        <v>344264.15212799999</v>
      </c>
      <c r="G383" s="12">
        <f t="shared" si="21"/>
        <v>161851.84787200004</v>
      </c>
      <c r="H383" s="16">
        <f>E383-'Historico_GEIH_2007-2026'!$M$16</f>
        <v>-6.3792000000000115</v>
      </c>
      <c r="I383" s="17">
        <f t="shared" si="22"/>
        <v>69.750609144331378</v>
      </c>
      <c r="J383" s="17">
        <f t="shared" si="23"/>
        <v>43.367923559025996</v>
      </c>
    </row>
    <row r="384" spans="1:10" ht="15.75" customHeight="1" x14ac:dyDescent="0.25">
      <c r="A384" s="8" t="s">
        <v>50</v>
      </c>
      <c r="B384" s="13">
        <v>2042</v>
      </c>
      <c r="C384" s="15">
        <v>974086</v>
      </c>
      <c r="D384" s="15">
        <v>661440</v>
      </c>
      <c r="E384" s="14">
        <f>Tasas_Informalidad_Proy!$R$17</f>
        <v>50.262599999999999</v>
      </c>
      <c r="F384" s="15">
        <f t="shared" si="20"/>
        <v>332456.94143999997</v>
      </c>
      <c r="G384" s="15">
        <f t="shared" si="21"/>
        <v>328983.05855999998</v>
      </c>
      <c r="H384" s="18">
        <f>E384-'Historico_GEIH_2007-2026'!$M$17</f>
        <v>-5.8374000000000024</v>
      </c>
      <c r="I384" s="19">
        <f t="shared" si="22"/>
        <v>67.903655324067884</v>
      </c>
      <c r="J384" s="19">
        <f t="shared" si="23"/>
        <v>47.267477019835511</v>
      </c>
    </row>
    <row r="385" spans="1:10" ht="15.75" customHeight="1" x14ac:dyDescent="0.25">
      <c r="A385" s="6" t="s">
        <v>51</v>
      </c>
      <c r="B385" s="10">
        <v>2042</v>
      </c>
      <c r="C385" s="12">
        <v>637426</v>
      </c>
      <c r="D385" s="12">
        <v>448194</v>
      </c>
      <c r="E385" s="11">
        <f>Tasas_Informalidad_Proy!$R$18</f>
        <v>55.331499999999998</v>
      </c>
      <c r="F385" s="12">
        <f t="shared" si="20"/>
        <v>247992.46311000001</v>
      </c>
      <c r="G385" s="12">
        <f t="shared" si="21"/>
        <v>200201.53688999999</v>
      </c>
      <c r="H385" s="16">
        <f>E385-'Historico_GEIH_2007-2026'!$M$18</f>
        <v>-5.9684999999999988</v>
      </c>
      <c r="I385" s="17">
        <f t="shared" si="22"/>
        <v>70.313103011173055</v>
      </c>
      <c r="J385" s="17">
        <f t="shared" si="23"/>
        <v>42.221002512304942</v>
      </c>
    </row>
    <row r="386" spans="1:10" ht="15.75" customHeight="1" x14ac:dyDescent="0.25">
      <c r="A386" s="8" t="s">
        <v>52</v>
      </c>
      <c r="B386" s="13">
        <v>2042</v>
      </c>
      <c r="C386" s="15">
        <v>225827</v>
      </c>
      <c r="D386" s="15">
        <v>162426</v>
      </c>
      <c r="E386" s="14">
        <f>Tasas_Informalidad_Proy!$R$19</f>
        <v>55.392899999999997</v>
      </c>
      <c r="F386" s="15">
        <f t="shared" si="20"/>
        <v>89972.471753999998</v>
      </c>
      <c r="G386" s="15">
        <f t="shared" si="21"/>
        <v>72453.528246000002</v>
      </c>
      <c r="H386" s="18">
        <f>E386-'Historico_GEIH_2007-2026'!$M$19</f>
        <v>-5.8071000000000055</v>
      </c>
      <c r="I386" s="19">
        <f t="shared" si="22"/>
        <v>71.924969113524952</v>
      </c>
      <c r="J386" s="19">
        <f t="shared" si="23"/>
        <v>39.033775380788789</v>
      </c>
    </row>
    <row r="387" spans="1:10" ht="15.75" customHeight="1" x14ac:dyDescent="0.25">
      <c r="A387" s="6" t="s">
        <v>53</v>
      </c>
      <c r="B387" s="10">
        <v>2042</v>
      </c>
      <c r="C387" s="12">
        <v>207925</v>
      </c>
      <c r="D387" s="12">
        <v>149035</v>
      </c>
      <c r="E387" s="11">
        <f>Tasas_Informalidad_Proy!$R$20</f>
        <v>69.441599999999994</v>
      </c>
      <c r="F387" s="12">
        <f t="shared" si="20"/>
        <v>103492.28855999999</v>
      </c>
      <c r="G387" s="12">
        <f t="shared" si="21"/>
        <v>45542.711440000014</v>
      </c>
      <c r="H387" s="16">
        <f>E387-'Historico_GEIH_2007-2026'!$M$20</f>
        <v>-6.058400000000006</v>
      </c>
      <c r="I387" s="17">
        <f t="shared" si="22"/>
        <v>71.677287483467595</v>
      </c>
      <c r="J387" s="17">
        <f t="shared" si="23"/>
        <v>39.51420807192941</v>
      </c>
    </row>
    <row r="388" spans="1:10" ht="15.75" customHeight="1" x14ac:dyDescent="0.25">
      <c r="A388" s="8" t="s">
        <v>54</v>
      </c>
      <c r="B388" s="13">
        <v>2042</v>
      </c>
      <c r="C388" s="15">
        <v>385036</v>
      </c>
      <c r="D388" s="15">
        <v>271810</v>
      </c>
      <c r="E388" s="14">
        <f>Tasas_Informalidad_Proy!$R$21</f>
        <v>63.167999999999999</v>
      </c>
      <c r="F388" s="15">
        <f t="shared" si="20"/>
        <v>171696.94079999998</v>
      </c>
      <c r="G388" s="15">
        <f t="shared" si="21"/>
        <v>100113.05919999999</v>
      </c>
      <c r="H388" s="18">
        <f>E388-'Historico_GEIH_2007-2026'!$M$21</f>
        <v>-5.8320000000000007</v>
      </c>
      <c r="I388" s="19">
        <f t="shared" si="22"/>
        <v>70.593399058789302</v>
      </c>
      <c r="J388" s="19">
        <f t="shared" si="23"/>
        <v>41.656304035907439</v>
      </c>
    </row>
    <row r="389" spans="1:10" ht="15.75" customHeight="1" x14ac:dyDescent="0.25">
      <c r="A389" s="6" t="s">
        <v>55</v>
      </c>
      <c r="B389" s="10">
        <v>2042</v>
      </c>
      <c r="C389" s="12">
        <v>813654</v>
      </c>
      <c r="D389" s="12">
        <v>584263</v>
      </c>
      <c r="E389" s="11">
        <f>Tasas_Informalidad_Proy!$R$22</f>
        <v>61.601999999999997</v>
      </c>
      <c r="F389" s="12">
        <f t="shared" ref="F389:F395" si="24">D389*E389/100</f>
        <v>359917.69325999997</v>
      </c>
      <c r="G389" s="12">
        <f t="shared" ref="G389:G395" si="25">D389*(1-E389/100)</f>
        <v>224345.30674</v>
      </c>
      <c r="H389" s="16">
        <f>E389-'Historico_GEIH_2007-2026'!$M$22</f>
        <v>-5.9979999999999976</v>
      </c>
      <c r="I389" s="17">
        <f t="shared" ref="I389:I395" si="26">IF(C389&gt;0,D389/C389*100,"")</f>
        <v>71.807303841682085</v>
      </c>
      <c r="J389" s="17">
        <f t="shared" ref="J389:J395" si="27">IF(D389&gt;0,(C389-D389)/D389*100,"")</f>
        <v>39.261599656319156</v>
      </c>
    </row>
    <row r="390" spans="1:10" ht="15.75" customHeight="1" x14ac:dyDescent="0.25">
      <c r="A390" s="8" t="s">
        <v>56</v>
      </c>
      <c r="B390" s="13">
        <v>2042</v>
      </c>
      <c r="C390" s="15">
        <v>159063</v>
      </c>
      <c r="D390" s="15">
        <v>113913</v>
      </c>
      <c r="E390" s="14">
        <f>Tasas_Informalidad_Proy!$R$23</f>
        <v>72.456000000000003</v>
      </c>
      <c r="F390" s="15">
        <f t="shared" si="24"/>
        <v>82536.803280000007</v>
      </c>
      <c r="G390" s="15">
        <f t="shared" si="25"/>
        <v>31376.196720000004</v>
      </c>
      <c r="H390" s="18">
        <f>E390-'Historico_GEIH_2007-2026'!$M$23</f>
        <v>-6.0439999999999969</v>
      </c>
      <c r="I390" s="19">
        <f t="shared" si="26"/>
        <v>71.6150204635899</v>
      </c>
      <c r="J390" s="19">
        <f t="shared" si="27"/>
        <v>39.635511311263862</v>
      </c>
    </row>
    <row r="391" spans="1:10" ht="15.75" customHeight="1" x14ac:dyDescent="0.25">
      <c r="A391" s="6" t="s">
        <v>57</v>
      </c>
      <c r="B391" s="10">
        <v>2042</v>
      </c>
      <c r="C391" s="12">
        <v>473535</v>
      </c>
      <c r="D391" s="12">
        <v>333419</v>
      </c>
      <c r="E391" s="11">
        <f>Tasas_Informalidad_Proy!$R$24</f>
        <v>59.087400000000002</v>
      </c>
      <c r="F391" s="12">
        <f t="shared" si="24"/>
        <v>197008.61820599998</v>
      </c>
      <c r="G391" s="12">
        <f t="shared" si="25"/>
        <v>136410.38179399999</v>
      </c>
      <c r="H391" s="16">
        <f>E391-'Historico_GEIH_2007-2026'!$M$24</f>
        <v>-5.9125999999999976</v>
      </c>
      <c r="I391" s="17">
        <f t="shared" si="26"/>
        <v>70.410634905550808</v>
      </c>
      <c r="J391" s="17">
        <f t="shared" si="27"/>
        <v>42.02399983204316</v>
      </c>
    </row>
    <row r="392" spans="1:10" ht="15.75" customHeight="1" x14ac:dyDescent="0.25">
      <c r="A392" s="8" t="s">
        <v>58</v>
      </c>
      <c r="B392" s="13">
        <v>2042</v>
      </c>
      <c r="C392" s="15">
        <v>210762</v>
      </c>
      <c r="D392" s="15">
        <v>149569</v>
      </c>
      <c r="E392" s="14">
        <f>Tasas_Informalidad_Proy!$R$25</f>
        <v>67.264399999999995</v>
      </c>
      <c r="F392" s="15">
        <f t="shared" si="24"/>
        <v>100606.69043599999</v>
      </c>
      <c r="G392" s="15">
        <f t="shared" si="25"/>
        <v>48962.30956400001</v>
      </c>
      <c r="H392" s="18">
        <f>E392-'Historico_GEIH_2007-2026'!$M$25</f>
        <v>-6.0356000000000023</v>
      </c>
      <c r="I392" s="19">
        <f t="shared" si="26"/>
        <v>70.965828754709108</v>
      </c>
      <c r="J392" s="19">
        <f t="shared" si="27"/>
        <v>40.912889703080182</v>
      </c>
    </row>
    <row r="393" spans="1:10" ht="15.75" customHeight="1" x14ac:dyDescent="0.25">
      <c r="A393" s="6" t="s">
        <v>59</v>
      </c>
      <c r="B393" s="10">
        <v>2042</v>
      </c>
      <c r="C393" s="12">
        <v>643372</v>
      </c>
      <c r="D393" s="12">
        <v>466365</v>
      </c>
      <c r="E393" s="11">
        <f>Tasas_Informalidad_Proy!$R$26</f>
        <v>52.790700000000001</v>
      </c>
      <c r="F393" s="12">
        <f t="shared" si="24"/>
        <v>246197.34805500001</v>
      </c>
      <c r="G393" s="12">
        <f t="shared" si="25"/>
        <v>220167.65194499999</v>
      </c>
      <c r="H393" s="16">
        <f>E393-'Historico_GEIH_2007-2026'!$M$26</f>
        <v>-5.9093000000000018</v>
      </c>
      <c r="I393" s="17">
        <f t="shared" si="26"/>
        <v>72.487612143518831</v>
      </c>
      <c r="J393" s="17">
        <f t="shared" si="27"/>
        <v>37.954606370546671</v>
      </c>
    </row>
    <row r="394" spans="1:10" ht="15.75" customHeight="1" x14ac:dyDescent="0.25">
      <c r="A394" s="8" t="s">
        <v>60</v>
      </c>
      <c r="B394" s="13">
        <v>2042</v>
      </c>
      <c r="C394" s="15">
        <v>297298</v>
      </c>
      <c r="D394" s="15">
        <v>198734</v>
      </c>
      <c r="E394" s="14">
        <f>Tasas_Informalidad_Proy!$R$27</f>
        <v>48.962400000000002</v>
      </c>
      <c r="F394" s="15">
        <f t="shared" si="24"/>
        <v>97304.936016000007</v>
      </c>
      <c r="G394" s="15">
        <f t="shared" si="25"/>
        <v>101429.06398399999</v>
      </c>
      <c r="H394" s="18">
        <f>E394-'Historico_GEIH_2007-2026'!$M$27</f>
        <v>-6.0375999999999976</v>
      </c>
      <c r="I394" s="19">
        <f t="shared" si="26"/>
        <v>66.846732907722213</v>
      </c>
      <c r="J394" s="19">
        <f t="shared" si="27"/>
        <v>49.595942314853019</v>
      </c>
    </row>
    <row r="395" spans="1:10" ht="15.75" customHeight="1" x14ac:dyDescent="0.25">
      <c r="A395" s="6" t="s">
        <v>61</v>
      </c>
      <c r="B395" s="10">
        <v>2042</v>
      </c>
      <c r="C395" s="12">
        <v>393773</v>
      </c>
      <c r="D395" s="12">
        <v>276408</v>
      </c>
      <c r="E395" s="11">
        <f>Tasas_Informalidad_Proy!$R$28</f>
        <v>62.245600000000003</v>
      </c>
      <c r="F395" s="12">
        <f t="shared" si="24"/>
        <v>172051.81804799999</v>
      </c>
      <c r="G395" s="12">
        <f t="shared" si="25"/>
        <v>104356.181952</v>
      </c>
      <c r="H395" s="16">
        <f>E395-'Historico_GEIH_2007-2026'!$M$28</f>
        <v>-6.054399999999994</v>
      </c>
      <c r="I395" s="17">
        <f t="shared" si="26"/>
        <v>70.194756877693493</v>
      </c>
      <c r="J395" s="17">
        <f t="shared" si="27"/>
        <v>42.460782611212409</v>
      </c>
    </row>
  </sheetData>
  <mergeCells count="2">
    <mergeCell ref="A1:J2"/>
    <mergeCell ref="A3:J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39C12"/>
  </sheetPr>
  <dimension ref="A1:J21"/>
  <sheetViews>
    <sheetView showGridLines="0" workbookViewId="0">
      <selection sqref="A1:H2"/>
    </sheetView>
  </sheetViews>
  <sheetFormatPr baseColWidth="10" defaultColWidth="8.7109375" defaultRowHeight="15" x14ac:dyDescent="0.25"/>
  <cols>
    <col min="1" max="1" width="8" customWidth="1"/>
    <col min="2" max="2" width="22" customWidth="1"/>
    <col min="3" max="4" width="12" customWidth="1"/>
    <col min="5" max="5" width="10" customWidth="1"/>
    <col min="6" max="7" width="28" customWidth="1"/>
    <col min="8" max="8" width="24" customWidth="1"/>
  </cols>
  <sheetData>
    <row r="1" spans="1:10" ht="30" customHeight="1" x14ac:dyDescent="0.25">
      <c r="A1" s="51" t="s">
        <v>78</v>
      </c>
      <c r="B1" s="44"/>
      <c r="C1" s="44"/>
      <c r="D1" s="44"/>
      <c r="E1" s="44"/>
      <c r="F1" s="44"/>
      <c r="G1" s="44"/>
      <c r="H1" s="44"/>
    </row>
    <row r="2" spans="1:10" x14ac:dyDescent="0.25">
      <c r="A2" s="44"/>
      <c r="B2" s="44"/>
      <c r="C2" s="44"/>
      <c r="D2" s="44"/>
      <c r="E2" s="44"/>
      <c r="F2" s="44"/>
      <c r="G2" s="44"/>
      <c r="H2" s="44"/>
    </row>
    <row r="3" spans="1:10" ht="30" customHeight="1" x14ac:dyDescent="0.25">
      <c r="A3" s="53" t="s">
        <v>79</v>
      </c>
      <c r="B3" s="54"/>
      <c r="C3" s="54"/>
      <c r="D3" s="54"/>
      <c r="E3" s="54"/>
      <c r="F3" s="54"/>
      <c r="G3" s="54"/>
      <c r="H3" s="54"/>
      <c r="I3" s="35"/>
      <c r="J3" s="35"/>
    </row>
    <row r="4" spans="1:10" ht="21.75" customHeight="1" x14ac:dyDescent="0.25">
      <c r="A4" s="5" t="s">
        <v>63</v>
      </c>
      <c r="B4" s="5" t="s">
        <v>80</v>
      </c>
      <c r="C4" s="5" t="s">
        <v>81</v>
      </c>
      <c r="D4" s="5" t="s">
        <v>82</v>
      </c>
      <c r="E4" s="5" t="s">
        <v>83</v>
      </c>
      <c r="F4" s="5" t="s">
        <v>84</v>
      </c>
      <c r="G4" s="5" t="s">
        <v>85</v>
      </c>
      <c r="H4" s="5" t="s">
        <v>86</v>
      </c>
    </row>
    <row r="5" spans="1:10" ht="16.5" customHeight="1" x14ac:dyDescent="0.25">
      <c r="A5" s="20">
        <v>2026</v>
      </c>
      <c r="B5" s="11">
        <f>SUMPRODUCT(Ocupados_Proy!$E$5:$E$27,Ocupados_Proy!$D$5:$D$27)/SUM(Ocupados_Proy!$D$5:$D$27)</f>
        <v>50.920387738730206</v>
      </c>
      <c r="C5" s="11">
        <f>MIN(Ocupados_Proy!$E$5:$E$27)</f>
        <v>41.394199999999998</v>
      </c>
      <c r="D5" s="11">
        <f>MAX(Ocupados_Proy!$E$5:$E$27)</f>
        <v>77.569900000000004</v>
      </c>
      <c r="E5" s="11">
        <f t="shared" ref="E5:E21" si="0">D5-C5</f>
        <v>36.175700000000006</v>
      </c>
      <c r="F5" s="2" t="str">
        <f>INDEX(Ocupados_Proy!$A$5:$A$27,MATCH(C5,Ocupados_Proy!$E$5:$E$27,0))</f>
        <v>Bogotá D.C.</v>
      </c>
      <c r="G5" s="2" t="str">
        <f>INDEX(Ocupados_Proy!$A$5:$A$27,MATCH(D5,Ocupados_Proy!$E$5:$E$27,0))</f>
        <v>Quibdó</v>
      </c>
      <c r="H5" s="12">
        <f>SUM(Ocupados_Proy!$F$5:$F$27)</f>
        <v>8126874.5333540002</v>
      </c>
    </row>
    <row r="6" spans="1:10" ht="16.5" customHeight="1" x14ac:dyDescent="0.25">
      <c r="A6" s="21">
        <v>2027</v>
      </c>
      <c r="B6" s="14">
        <f>SUMPRODUCT(Ocupados_Proy!$E$28:$E$50,Ocupados_Proy!$D$28:$D$50)/SUM(Ocupados_Proy!$D$28:$D$50)</f>
        <v>50.629066577880721</v>
      </c>
      <c r="C6" s="14">
        <f>MIN(Ocupados_Proy!$E$28:$E$50)</f>
        <v>41.072000000000003</v>
      </c>
      <c r="D6" s="14">
        <f>MAX(Ocupados_Proy!$E$28:$E$50)</f>
        <v>77.239999999999995</v>
      </c>
      <c r="E6" s="14">
        <f t="shared" si="0"/>
        <v>36.167999999999992</v>
      </c>
      <c r="F6" s="1" t="str">
        <f>INDEX(Ocupados_Proy!$A$28:$A$50,MATCH(C6,Ocupados_Proy!$E$28:$E$50,0))</f>
        <v>Bogotá D.C.</v>
      </c>
      <c r="G6" s="1" t="str">
        <f>INDEX(Ocupados_Proy!$A$28:$A$50,MATCH(D6,Ocupados_Proy!$E$28:$E$50,0))</f>
        <v>Quibdó</v>
      </c>
      <c r="H6" s="15">
        <f>SUM(Ocupados_Proy!$F$28:$F$50)</f>
        <v>8095469.7800779976</v>
      </c>
    </row>
    <row r="7" spans="1:10" ht="16.5" customHeight="1" x14ac:dyDescent="0.25">
      <c r="A7" s="20">
        <v>2028</v>
      </c>
      <c r="B7" s="11">
        <f>SUMPRODUCT(Ocupados_Proy!$E$51:$E$73,Ocupados_Proy!$D$51:$D$73)/SUM(Ocupados_Proy!$D$51:$D$73)</f>
        <v>50.341094449331834</v>
      </c>
      <c r="C7" s="11">
        <f>MIN(Ocupados_Proy!$E$51:$E$73)</f>
        <v>40.752299999999998</v>
      </c>
      <c r="D7" s="11">
        <f>MAX(Ocupados_Proy!$E$51:$E$73)</f>
        <v>76.9114</v>
      </c>
      <c r="E7" s="11">
        <f t="shared" si="0"/>
        <v>36.159100000000002</v>
      </c>
      <c r="F7" s="2" t="str">
        <f>INDEX(Ocupados_Proy!$A$51:$A$73,MATCH(C7,Ocupados_Proy!$E$51:$E$73,0))</f>
        <v>Bogotá D.C.</v>
      </c>
      <c r="G7" s="2" t="str">
        <f>INDEX(Ocupados_Proy!$A$51:$A$73,MATCH(D7,Ocupados_Proy!$E$51:$E$73,0))</f>
        <v>Quibdó</v>
      </c>
      <c r="H7" s="12">
        <f>SUM(Ocupados_Proy!$F$51:$F$73)</f>
        <v>8058784.1307999995</v>
      </c>
    </row>
    <row r="8" spans="1:10" ht="16.5" customHeight="1" x14ac:dyDescent="0.25">
      <c r="A8" s="21">
        <v>2029</v>
      </c>
      <c r="B8" s="14">
        <f>SUMPRODUCT(Ocupados_Proy!$E$74:$E$96,Ocupados_Proy!$D$74:$D$96)/SUM(Ocupados_Proy!$D$74:$D$96)</f>
        <v>50.056273413415703</v>
      </c>
      <c r="C8" s="14">
        <f>MIN(Ocupados_Proy!$E$74:$E$96)</f>
        <v>40.435099999999998</v>
      </c>
      <c r="D8" s="14">
        <f>MAX(Ocupados_Proy!$E$74:$E$96)</f>
        <v>76.584299999999999</v>
      </c>
      <c r="E8" s="14">
        <f t="shared" si="0"/>
        <v>36.1492</v>
      </c>
      <c r="F8" s="1" t="str">
        <f>INDEX(Ocupados_Proy!$A$74:$A$96,MATCH(C8,Ocupados_Proy!$E$74:$E$96,0))</f>
        <v>Bogotá D.C.</v>
      </c>
      <c r="G8" s="1" t="str">
        <f>INDEX(Ocupados_Proy!$A$74:$A$96,MATCH(D8,Ocupados_Proy!$E$74:$E$96,0))</f>
        <v>Quibdó</v>
      </c>
      <c r="H8" s="15">
        <f>SUM(Ocupados_Proy!$F$74:$F$96)</f>
        <v>8018350.7540809987</v>
      </c>
    </row>
    <row r="9" spans="1:10" ht="16.5" customHeight="1" x14ac:dyDescent="0.25">
      <c r="A9" s="20">
        <v>2030</v>
      </c>
      <c r="B9" s="11">
        <f>SUMPRODUCT(Ocupados_Proy!$E$97:$E$119,Ocupados_Proy!$D$97:$D$119)/SUM(Ocupados_Proy!$D$97:$D$119)</f>
        <v>49.774479170869988</v>
      </c>
      <c r="C9" s="11">
        <f>MIN(Ocupados_Proy!$E$97:$E$119)</f>
        <v>40.056800000000003</v>
      </c>
      <c r="D9" s="11">
        <f>MAX(Ocupados_Proy!$E$97:$E$119)</f>
        <v>76.258499999999998</v>
      </c>
      <c r="E9" s="11">
        <f t="shared" si="0"/>
        <v>36.201699999999995</v>
      </c>
      <c r="F9" s="2" t="str">
        <f>INDEX(Ocupados_Proy!$A$97:$A$119,MATCH(C9,Ocupados_Proy!$E$97:$E$119,0))</f>
        <v>Medellín</v>
      </c>
      <c r="G9" s="2" t="str">
        <f>INDEX(Ocupados_Proy!$A$97:$A$119,MATCH(D9,Ocupados_Proy!$E$97:$E$119,0))</f>
        <v>Quibdó</v>
      </c>
      <c r="H9" s="12">
        <f>SUM(Ocupados_Proy!$F$97:$F$119)</f>
        <v>7975370.7704859991</v>
      </c>
    </row>
    <row r="10" spans="1:10" ht="16.5" customHeight="1" x14ac:dyDescent="0.25">
      <c r="A10" s="21">
        <v>2031</v>
      </c>
      <c r="B10" s="14">
        <f>SUMPRODUCT(Ocupados_Proy!$E$120:$E$142,Ocupados_Proy!$D$120:$D$142)/SUM(Ocupados_Proy!$D$120:$D$142)</f>
        <v>49.495511367105728</v>
      </c>
      <c r="C10" s="14">
        <f>MIN(Ocupados_Proy!$E$120:$E$142)</f>
        <v>39.6631</v>
      </c>
      <c r="D10" s="14">
        <f>MAX(Ocupados_Proy!$E$120:$E$142)</f>
        <v>75.934200000000004</v>
      </c>
      <c r="E10" s="14">
        <f t="shared" si="0"/>
        <v>36.271100000000004</v>
      </c>
      <c r="F10" s="1" t="str">
        <f>INDEX(Ocupados_Proy!$A$120:$A$142,MATCH(C10,Ocupados_Proy!$E$120:$E$142,0))</f>
        <v>Medellín</v>
      </c>
      <c r="G10" s="1" t="str">
        <f>INDEX(Ocupados_Proy!$A$120:$A$142,MATCH(D10,Ocupados_Proy!$E$120:$E$142,0))</f>
        <v>Quibdó</v>
      </c>
      <c r="H10" s="15">
        <f>SUM(Ocupados_Proy!$F$120:$F$142)</f>
        <v>7930211.4175570002</v>
      </c>
    </row>
    <row r="11" spans="1:10" ht="16.5" customHeight="1" x14ac:dyDescent="0.25">
      <c r="A11" s="20">
        <v>2032</v>
      </c>
      <c r="B11" s="11">
        <f>SUMPRODUCT(Ocupados_Proy!$E$143:$E$165,Ocupados_Proy!$D$143:$D$165)/SUM(Ocupados_Proy!$D$143:$D$165)</f>
        <v>49.21941862945085</v>
      </c>
      <c r="C11" s="11">
        <f>MIN(Ocupados_Proy!$E$143:$E$165)</f>
        <v>39.273200000000003</v>
      </c>
      <c r="D11" s="11">
        <f>MAX(Ocupados_Proy!$E$143:$E$165)</f>
        <v>75.611199999999997</v>
      </c>
      <c r="E11" s="11">
        <f t="shared" si="0"/>
        <v>36.337999999999994</v>
      </c>
      <c r="F11" s="2" t="str">
        <f>INDEX(Ocupados_Proy!$A$143:$A$165,MATCH(C11,Ocupados_Proy!$E$143:$E$165,0))</f>
        <v>Medellín</v>
      </c>
      <c r="G11" s="2" t="str">
        <f>INDEX(Ocupados_Proy!$A$143:$A$165,MATCH(D11,Ocupados_Proy!$E$143:$E$165,0))</f>
        <v>Quibdó</v>
      </c>
      <c r="H11" s="12">
        <f>SUM(Ocupados_Proy!$F$143:$F$165)</f>
        <v>7883378.7962069986</v>
      </c>
    </row>
    <row r="12" spans="1:10" ht="16.5" customHeight="1" x14ac:dyDescent="0.25">
      <c r="A12" s="21">
        <v>2033</v>
      </c>
      <c r="B12" s="14">
        <f>SUMPRODUCT(Ocupados_Proy!$E$166:$E$188,Ocupados_Proy!$D$166:$D$188)/SUM(Ocupados_Proy!$D$166:$D$188)</f>
        <v>48.945838391900388</v>
      </c>
      <c r="C12" s="14">
        <f>MIN(Ocupados_Proy!$E$166:$E$188)</f>
        <v>38.887099999999997</v>
      </c>
      <c r="D12" s="14">
        <f>MAX(Ocupados_Proy!$E$166:$E$188)</f>
        <v>75.289599999999993</v>
      </c>
      <c r="E12" s="14">
        <f t="shared" si="0"/>
        <v>36.402499999999996</v>
      </c>
      <c r="F12" s="1" t="str">
        <f>INDEX(Ocupados_Proy!$A$166:$A$188,MATCH(C12,Ocupados_Proy!$E$166:$E$188,0))</f>
        <v>Medellín</v>
      </c>
      <c r="G12" s="1" t="str">
        <f>INDEX(Ocupados_Proy!$A$166:$A$188,MATCH(D12,Ocupados_Proy!$E$166:$E$188,0))</f>
        <v>Quibdó</v>
      </c>
      <c r="H12" s="15">
        <f>SUM(Ocupados_Proy!$F$166:$F$188)</f>
        <v>7834945.8561190004</v>
      </c>
    </row>
    <row r="13" spans="1:10" ht="16.5" customHeight="1" x14ac:dyDescent="0.25">
      <c r="A13" s="20">
        <v>2034</v>
      </c>
      <c r="B13" s="11">
        <f>SUMPRODUCT(Ocupados_Proy!$E$189:$E$211,Ocupados_Proy!$D$189:$D$211)/SUM(Ocupados_Proy!$D$189:$D$211)</f>
        <v>48.675115793490846</v>
      </c>
      <c r="C13" s="11">
        <f>MIN(Ocupados_Proy!$E$189:$E$211)</f>
        <v>38.504899999999999</v>
      </c>
      <c r="D13" s="11">
        <f>MAX(Ocupados_Proy!$E$189:$E$211)</f>
        <v>74.969399999999993</v>
      </c>
      <c r="E13" s="11">
        <f t="shared" si="0"/>
        <v>36.464499999999994</v>
      </c>
      <c r="F13" s="2" t="str">
        <f>INDEX(Ocupados_Proy!$A$189:$A$211,MATCH(C13,Ocupados_Proy!$E$189:$E$211,0))</f>
        <v>Medellín</v>
      </c>
      <c r="G13" s="2" t="str">
        <f>INDEX(Ocupados_Proy!$A$189:$A$211,MATCH(D13,Ocupados_Proy!$E$189:$E$211,0))</f>
        <v>Quibdó</v>
      </c>
      <c r="H13" s="12">
        <f>SUM(Ocupados_Proy!$F$189:$F$211)</f>
        <v>7784071.9485700019</v>
      </c>
    </row>
    <row r="14" spans="1:10" ht="16.5" customHeight="1" x14ac:dyDescent="0.25">
      <c r="A14" s="21">
        <v>2035</v>
      </c>
      <c r="B14" s="14">
        <f>SUMPRODUCT(Ocupados_Proy!$E$212:$E$234,Ocupados_Proy!$D$212:$D$234)/SUM(Ocupados_Proy!$D$212:$D$234)</f>
        <v>48.406669451100797</v>
      </c>
      <c r="C14" s="14">
        <f>MIN(Ocupados_Proy!$E$212:$E$234)</f>
        <v>38.126399999999997</v>
      </c>
      <c r="D14" s="14">
        <f>MAX(Ocupados_Proy!$E$212:$E$234)</f>
        <v>74.650499999999994</v>
      </c>
      <c r="E14" s="14">
        <f t="shared" si="0"/>
        <v>36.524099999999997</v>
      </c>
      <c r="F14" s="1" t="str">
        <f>INDEX(Ocupados_Proy!$A$212:$A$234,MATCH(C14,Ocupados_Proy!$E$212:$E$234,0))</f>
        <v>Medellín</v>
      </c>
      <c r="G14" s="1" t="str">
        <f>INDEX(Ocupados_Proy!$A$212:$A$234,MATCH(D14,Ocupados_Proy!$E$212:$E$234,0))</f>
        <v>Quibdó</v>
      </c>
      <c r="H14" s="15">
        <f>SUM(Ocupados_Proy!$F$212:$F$234)</f>
        <v>7732432.003316001</v>
      </c>
    </row>
    <row r="15" spans="1:10" ht="16.5" customHeight="1" x14ac:dyDescent="0.25">
      <c r="A15" s="20">
        <v>2036</v>
      </c>
      <c r="B15" s="11">
        <f>SUMPRODUCT(Ocupados_Proy!$E$235:$E$257,Ocupados_Proy!$D$235:$D$257)/SUM(Ocupados_Proy!$D$235:$D$257)</f>
        <v>48.141651227860649</v>
      </c>
      <c r="C15" s="11">
        <f>MIN(Ocupados_Proy!$E$235:$E$257)</f>
        <v>37.751600000000003</v>
      </c>
      <c r="D15" s="11">
        <f>MAX(Ocupados_Proy!$E$235:$E$257)</f>
        <v>74.332999999999998</v>
      </c>
      <c r="E15" s="11">
        <f t="shared" si="0"/>
        <v>36.581399999999995</v>
      </c>
      <c r="F15" s="2" t="str">
        <f>INDEX(Ocupados_Proy!$A$235:$A$257,MATCH(C15,Ocupados_Proy!$E$235:$E$257,0))</f>
        <v>Medellín</v>
      </c>
      <c r="G15" s="2" t="str">
        <f>INDEX(Ocupados_Proy!$A$235:$A$257,MATCH(D15,Ocupados_Proy!$E$235:$E$257,0))</f>
        <v>Quibdó</v>
      </c>
      <c r="H15" s="12">
        <f>SUM(Ocupados_Proy!$F$235:$F$257)</f>
        <v>7681033.1897279993</v>
      </c>
    </row>
    <row r="16" spans="1:10" ht="16.5" customHeight="1" x14ac:dyDescent="0.25">
      <c r="A16" s="21">
        <v>2037</v>
      </c>
      <c r="B16" s="14">
        <f>SUMPRODUCT(Ocupados_Proy!$E$258:$E$280,Ocupados_Proy!$D$258:$D$280)/SUM(Ocupados_Proy!$D$258:$D$280)</f>
        <v>47.879271555236777</v>
      </c>
      <c r="C16" s="14">
        <f>MIN(Ocupados_Proy!$E$258:$E$280)</f>
        <v>37.380499999999998</v>
      </c>
      <c r="D16" s="14">
        <f>MAX(Ocupados_Proy!$E$258:$E$280)</f>
        <v>74.016800000000003</v>
      </c>
      <c r="E16" s="14">
        <f t="shared" si="0"/>
        <v>36.636300000000006</v>
      </c>
      <c r="F16" s="1" t="str">
        <f>INDEX(Ocupados_Proy!$A$258:$A$280,MATCH(C16,Ocupados_Proy!$E$258:$E$280,0))</f>
        <v>Medellín</v>
      </c>
      <c r="G16" s="1" t="str">
        <f>INDEX(Ocupados_Proy!$A$258:$A$280,MATCH(D16,Ocupados_Proy!$E$258:$E$280,0))</f>
        <v>Quibdó</v>
      </c>
      <c r="H16" s="15">
        <f>SUM(Ocupados_Proy!$F$258:$F$280)</f>
        <v>7628272.5335440012</v>
      </c>
    </row>
    <row r="17" spans="1:8" ht="16.5" customHeight="1" x14ac:dyDescent="0.25">
      <c r="A17" s="20">
        <v>2038</v>
      </c>
      <c r="B17" s="11">
        <f>SUMPRODUCT(Ocupados_Proy!$E$281:$E$303,Ocupados_Proy!$D$281:$D$303)/SUM(Ocupados_Proy!$D$281:$D$303)</f>
        <v>47.619689874076712</v>
      </c>
      <c r="C17" s="11">
        <f>MIN(Ocupados_Proy!$E$281:$E$303)</f>
        <v>37.013100000000001</v>
      </c>
      <c r="D17" s="11">
        <f>MAX(Ocupados_Proy!$E$281:$E$303)</f>
        <v>73.701999999999998</v>
      </c>
      <c r="E17" s="11">
        <f t="shared" si="0"/>
        <v>36.688899999999997</v>
      </c>
      <c r="F17" s="2" t="str">
        <f>INDEX(Ocupados_Proy!$A$281:$A$303,MATCH(C17,Ocupados_Proy!$E$281:$E$303,0))</f>
        <v>Medellín</v>
      </c>
      <c r="G17" s="2" t="str">
        <f>INDEX(Ocupados_Proy!$A$281:$A$303,MATCH(D17,Ocupados_Proy!$E$281:$E$303,0))</f>
        <v>Quibdó</v>
      </c>
      <c r="H17" s="12">
        <f>SUM(Ocupados_Proy!$F$281:$F$303)</f>
        <v>7573911.1982750008</v>
      </c>
    </row>
    <row r="18" spans="1:8" ht="16.5" customHeight="1" x14ac:dyDescent="0.25">
      <c r="A18" s="21">
        <v>2039</v>
      </c>
      <c r="B18" s="14">
        <f>SUMPRODUCT(Ocupados_Proy!$E$304:$E$326,Ocupados_Proy!$D$304:$D$326)/SUM(Ocupados_Proy!$D$304:$D$326)</f>
        <v>47.363258599616152</v>
      </c>
      <c r="C18" s="14">
        <f>MIN(Ocupados_Proy!$E$304:$E$326)</f>
        <v>36.649299999999997</v>
      </c>
      <c r="D18" s="14">
        <f>MAX(Ocupados_Proy!$E$304:$E$326)</f>
        <v>73.388499999999993</v>
      </c>
      <c r="E18" s="14">
        <f t="shared" si="0"/>
        <v>36.739199999999997</v>
      </c>
      <c r="F18" s="1" t="str">
        <f>INDEX(Ocupados_Proy!$A$304:$A$326,MATCH(C18,Ocupados_Proy!$E$304:$E$326,0))</f>
        <v>Medellín</v>
      </c>
      <c r="G18" s="1" t="str">
        <f>INDEX(Ocupados_Proy!$A$304:$A$326,MATCH(D18,Ocupados_Proy!$E$304:$E$326,0))</f>
        <v>Quibdó</v>
      </c>
      <c r="H18" s="15">
        <f>SUM(Ocupados_Proy!$F$304:$F$326)</f>
        <v>7517512.5084390026</v>
      </c>
    </row>
    <row r="19" spans="1:8" ht="16.5" customHeight="1" x14ac:dyDescent="0.25">
      <c r="A19" s="20">
        <v>2040</v>
      </c>
      <c r="B19" s="11">
        <f>SUMPRODUCT(Ocupados_Proy!$E$327:$E$349,Ocupados_Proy!$D$327:$D$349)/SUM(Ocupados_Proy!$D$327:$D$349)</f>
        <v>47.110066807827643</v>
      </c>
      <c r="C19" s="11">
        <f>MIN(Ocupados_Proy!$E$327:$E$349)</f>
        <v>36.289000000000001</v>
      </c>
      <c r="D19" s="11">
        <f>MAX(Ocupados_Proy!$E$327:$E$349)</f>
        <v>73.076400000000007</v>
      </c>
      <c r="E19" s="11">
        <f t="shared" si="0"/>
        <v>36.787400000000005</v>
      </c>
      <c r="F19" s="2" t="str">
        <f>INDEX(Ocupados_Proy!$A$327:$A$349,MATCH(C19,Ocupados_Proy!$E$327:$E$349,0))</f>
        <v>Medellín</v>
      </c>
      <c r="G19" s="2" t="str">
        <f>INDEX(Ocupados_Proy!$A$327:$A$349,MATCH(D19,Ocupados_Proy!$E$327:$E$349,0))</f>
        <v>Quibdó</v>
      </c>
      <c r="H19" s="12">
        <f>SUM(Ocupados_Proy!$F$327:$F$349)</f>
        <v>7458486.0343439989</v>
      </c>
    </row>
    <row r="20" spans="1:8" ht="16.5" customHeight="1" x14ac:dyDescent="0.25">
      <c r="A20" s="21">
        <v>2041</v>
      </c>
      <c r="B20" s="14">
        <f>SUMPRODUCT(Ocupados_Proy!$E$350:$E$372,Ocupados_Proy!$D$350:$D$372)/SUM(Ocupados_Proy!$D$350:$D$372)</f>
        <v>46.860098554971167</v>
      </c>
      <c r="C20" s="14">
        <f>MIN(Ocupados_Proy!$E$350:$E$372)</f>
        <v>35.932299999999998</v>
      </c>
      <c r="D20" s="14">
        <f>MAX(Ocupados_Proy!$E$350:$E$372)</f>
        <v>72.765500000000003</v>
      </c>
      <c r="E20" s="14">
        <f t="shared" si="0"/>
        <v>36.833200000000005</v>
      </c>
      <c r="F20" s="1" t="str">
        <f>INDEX(Ocupados_Proy!$A$350:$A$372,MATCH(C20,Ocupados_Proy!$E$350:$E$372,0))</f>
        <v>Medellín</v>
      </c>
      <c r="G20" s="1" t="str">
        <f>INDEX(Ocupados_Proy!$A$350:$A$372,MATCH(D20,Ocupados_Proy!$E$350:$E$372,0))</f>
        <v>Quibdó</v>
      </c>
      <c r="H20" s="15">
        <f>SUM(Ocupados_Proy!$F$350:$F$372)</f>
        <v>7395478.5607830007</v>
      </c>
    </row>
    <row r="21" spans="1:8" ht="16.5" customHeight="1" x14ac:dyDescent="0.25">
      <c r="A21" s="20">
        <v>2042</v>
      </c>
      <c r="B21" s="11">
        <f>SUMPRODUCT(Ocupados_Proy!$E$373:$E$395,Ocupados_Proy!$D$373:$D$395)/SUM(Ocupados_Proy!$D$373:$D$395)</f>
        <v>46.614077677767689</v>
      </c>
      <c r="C21" s="11">
        <f>MIN(Ocupados_Proy!$E$373:$E$395)</f>
        <v>35.579099999999997</v>
      </c>
      <c r="D21" s="11">
        <f>MAX(Ocupados_Proy!$E$373:$E$395)</f>
        <v>72.456000000000003</v>
      </c>
      <c r="E21" s="11">
        <f t="shared" si="0"/>
        <v>36.876900000000006</v>
      </c>
      <c r="F21" s="2" t="str">
        <f>INDEX(Ocupados_Proy!$A$373:$A$395,MATCH(C21,Ocupados_Proy!$E$373:$E$395,0))</f>
        <v>Medellín</v>
      </c>
      <c r="G21" s="2" t="str">
        <f>INDEX(Ocupados_Proy!$A$373:$A$395,MATCH(D21,Ocupados_Proy!$E$373:$E$395,0))</f>
        <v>Quibdó</v>
      </c>
      <c r="H21" s="12">
        <f>SUM(Ocupados_Proy!$F$373:$F$395)</f>
        <v>7327718.5605809987</v>
      </c>
    </row>
  </sheetData>
  <mergeCells count="2">
    <mergeCell ref="A1:H2"/>
    <mergeCell ref="A3: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6A085"/>
  </sheetPr>
  <dimension ref="A1:U31"/>
  <sheetViews>
    <sheetView showGridLines="0" topLeftCell="F1" workbookViewId="0">
      <selection activeCell="P15" sqref="P15"/>
    </sheetView>
  </sheetViews>
  <sheetFormatPr baseColWidth="10" defaultColWidth="8.7109375" defaultRowHeight="15" x14ac:dyDescent="0.25"/>
  <cols>
    <col min="1" max="1" width="22" customWidth="1"/>
    <col min="2" max="7" width="8.42578125" customWidth="1"/>
    <col min="8" max="14" width="9" customWidth="1"/>
    <col min="15" max="15" width="9.85546875" customWidth="1"/>
    <col min="16" max="16" width="8.42578125" customWidth="1"/>
    <col min="17" max="18" width="9" customWidth="1"/>
    <col min="19" max="21" width="13" customWidth="1"/>
  </cols>
  <sheetData>
    <row r="1" spans="1:21" ht="30" customHeight="1" x14ac:dyDescent="0.25">
      <c r="A1" s="55" t="s">
        <v>87</v>
      </c>
      <c r="B1" s="44"/>
      <c r="C1" s="44"/>
      <c r="D1" s="44"/>
      <c r="E1" s="44"/>
      <c r="F1" s="44"/>
      <c r="G1" s="44"/>
      <c r="H1" s="44"/>
      <c r="I1" s="44"/>
      <c r="J1" s="44"/>
      <c r="K1" s="44"/>
      <c r="L1" s="44"/>
      <c r="M1" s="44"/>
      <c r="N1" s="44"/>
      <c r="O1" s="44"/>
      <c r="P1" s="44"/>
      <c r="Q1" s="44"/>
      <c r="R1" s="44"/>
      <c r="S1" s="44"/>
      <c r="T1" s="44"/>
      <c r="U1" s="44"/>
    </row>
    <row r="2" spans="1:21" x14ac:dyDescent="0.25">
      <c r="A2" s="44"/>
      <c r="B2" s="44"/>
      <c r="C2" s="44"/>
      <c r="D2" s="44"/>
      <c r="E2" s="44"/>
      <c r="F2" s="44"/>
      <c r="G2" s="44"/>
      <c r="H2" s="44"/>
      <c r="I2" s="44"/>
      <c r="J2" s="44"/>
      <c r="K2" s="44"/>
      <c r="L2" s="44"/>
      <c r="M2" s="44"/>
      <c r="N2" s="44"/>
      <c r="O2" s="44"/>
      <c r="P2" s="44"/>
      <c r="Q2" s="44"/>
      <c r="R2" s="44"/>
      <c r="S2" s="44"/>
      <c r="T2" s="44"/>
      <c r="U2" s="44"/>
    </row>
    <row r="3" spans="1:21" x14ac:dyDescent="0.25">
      <c r="A3" s="50" t="s">
        <v>88</v>
      </c>
      <c r="B3" s="44"/>
      <c r="C3" s="44"/>
      <c r="D3" s="44"/>
      <c r="E3" s="44"/>
      <c r="F3" s="44"/>
      <c r="G3" s="44"/>
      <c r="H3" s="44"/>
      <c r="I3" s="44"/>
      <c r="J3" s="44"/>
      <c r="K3" s="44"/>
      <c r="L3" s="44"/>
      <c r="M3" s="44"/>
      <c r="N3" s="44"/>
      <c r="O3" s="44"/>
      <c r="P3" s="44"/>
      <c r="Q3" s="44"/>
      <c r="R3" s="44"/>
      <c r="S3" s="44"/>
      <c r="T3" s="44"/>
      <c r="U3" s="44"/>
    </row>
    <row r="5" spans="1:21" ht="21.75" customHeight="1" x14ac:dyDescent="0.25">
      <c r="A5" s="5" t="s">
        <v>21</v>
      </c>
      <c r="B5" s="5" t="s">
        <v>89</v>
      </c>
      <c r="C5" s="5" t="s">
        <v>90</v>
      </c>
      <c r="D5" s="5" t="s">
        <v>91</v>
      </c>
      <c r="E5" s="5" t="s">
        <v>92</v>
      </c>
      <c r="F5" s="5" t="s">
        <v>93</v>
      </c>
      <c r="G5" s="5" t="s">
        <v>94</v>
      </c>
      <c r="H5" s="5" t="s">
        <v>95</v>
      </c>
      <c r="I5" s="5" t="s">
        <v>96</v>
      </c>
      <c r="J5" s="5" t="s">
        <v>97</v>
      </c>
      <c r="K5" s="5" t="s">
        <v>98</v>
      </c>
      <c r="L5" s="5" t="s">
        <v>99</v>
      </c>
      <c r="M5" s="5" t="s">
        <v>100</v>
      </c>
      <c r="N5" s="5" t="s">
        <v>101</v>
      </c>
      <c r="O5" s="5" t="s">
        <v>102</v>
      </c>
      <c r="P5" s="5" t="s">
        <v>103</v>
      </c>
      <c r="Q5" s="5" t="s">
        <v>104</v>
      </c>
      <c r="R5" s="5" t="s">
        <v>105</v>
      </c>
      <c r="S5" s="5" t="s">
        <v>106</v>
      </c>
      <c r="T5" s="5" t="s">
        <v>107</v>
      </c>
      <c r="U5" s="5" t="s">
        <v>22</v>
      </c>
    </row>
    <row r="6" spans="1:21" ht="15" customHeight="1" x14ac:dyDescent="0.25">
      <c r="A6" s="6" t="s">
        <v>39</v>
      </c>
      <c r="B6" s="7">
        <v>47.8</v>
      </c>
      <c r="C6" s="7">
        <v>47.2</v>
      </c>
      <c r="D6" s="7">
        <v>46.8</v>
      </c>
      <c r="E6" s="7">
        <v>46.1</v>
      </c>
      <c r="F6" s="7">
        <v>45.5</v>
      </c>
      <c r="G6" s="7">
        <v>44.8</v>
      </c>
      <c r="H6" s="7">
        <v>44.2</v>
      </c>
      <c r="I6" s="7">
        <v>44.2</v>
      </c>
      <c r="J6" s="7">
        <v>43.8</v>
      </c>
      <c r="K6" s="7">
        <v>43.5</v>
      </c>
      <c r="L6" s="7">
        <v>43.1</v>
      </c>
      <c r="M6" s="7">
        <v>42.6</v>
      </c>
      <c r="N6" s="7">
        <v>42</v>
      </c>
      <c r="O6" s="22">
        <v>45.8</v>
      </c>
      <c r="P6" s="7">
        <v>44.2</v>
      </c>
      <c r="Q6" s="7">
        <v>42.9</v>
      </c>
      <c r="R6" s="7">
        <v>42.2</v>
      </c>
      <c r="S6" s="7">
        <v>41.8</v>
      </c>
      <c r="T6" s="7">
        <v>35.4649</v>
      </c>
      <c r="U6" s="7">
        <v>34.039299999999997</v>
      </c>
    </row>
    <row r="7" spans="1:21" ht="15" customHeight="1" x14ac:dyDescent="0.25">
      <c r="A7" s="8" t="s">
        <v>40</v>
      </c>
      <c r="B7" s="9">
        <v>50.2</v>
      </c>
      <c r="C7" s="9">
        <v>49.5</v>
      </c>
      <c r="D7" s="9">
        <v>48.8</v>
      </c>
      <c r="E7" s="9">
        <v>47.9</v>
      </c>
      <c r="F7" s="9">
        <v>47.1</v>
      </c>
      <c r="G7" s="9">
        <v>46.2</v>
      </c>
      <c r="H7" s="9">
        <v>45.3</v>
      </c>
      <c r="I7" s="9">
        <v>44.9</v>
      </c>
      <c r="J7" s="9">
        <v>44.5</v>
      </c>
      <c r="K7" s="9">
        <v>44.1</v>
      </c>
      <c r="L7" s="9">
        <v>43.5</v>
      </c>
      <c r="M7" s="9">
        <v>43.2</v>
      </c>
      <c r="N7" s="9">
        <v>42.7</v>
      </c>
      <c r="O7" s="22">
        <v>46.5</v>
      </c>
      <c r="P7" s="9">
        <v>45.1</v>
      </c>
      <c r="Q7" s="9">
        <v>43.8</v>
      </c>
      <c r="R7" s="9">
        <v>43.1</v>
      </c>
      <c r="S7" s="9">
        <v>42.5</v>
      </c>
      <c r="T7" s="9">
        <v>38.7395</v>
      </c>
      <c r="U7" s="9">
        <v>38.431800000000003</v>
      </c>
    </row>
    <row r="8" spans="1:21" ht="15" customHeight="1" x14ac:dyDescent="0.25">
      <c r="A8" s="6" t="s">
        <v>41</v>
      </c>
      <c r="B8" s="7">
        <v>56.5</v>
      </c>
      <c r="C8" s="7">
        <v>55.8</v>
      </c>
      <c r="D8" s="7">
        <v>55.1</v>
      </c>
      <c r="E8" s="7">
        <v>54.5</v>
      </c>
      <c r="F8" s="7">
        <v>53.8</v>
      </c>
      <c r="G8" s="7">
        <v>53.1</v>
      </c>
      <c r="H8" s="7">
        <v>52.5</v>
      </c>
      <c r="I8" s="7">
        <v>52.2</v>
      </c>
      <c r="J8" s="7">
        <v>51.9</v>
      </c>
      <c r="K8" s="7">
        <v>51.4</v>
      </c>
      <c r="L8" s="7">
        <v>50.8</v>
      </c>
      <c r="M8" s="7">
        <v>50.3</v>
      </c>
      <c r="N8" s="7">
        <v>49.7</v>
      </c>
      <c r="O8" s="22">
        <v>53.2</v>
      </c>
      <c r="P8" s="7">
        <v>51.8</v>
      </c>
      <c r="Q8" s="7">
        <v>50.4</v>
      </c>
      <c r="R8" s="7">
        <v>49.7</v>
      </c>
      <c r="S8" s="7">
        <v>49.1</v>
      </c>
      <c r="T8" s="7">
        <v>46.460500000000003</v>
      </c>
      <c r="U8" s="7">
        <v>47.0456</v>
      </c>
    </row>
    <row r="9" spans="1:21" ht="15" customHeight="1" x14ac:dyDescent="0.25">
      <c r="A9" s="8" t="s">
        <v>42</v>
      </c>
      <c r="B9" s="9">
        <v>61.9</v>
      </c>
      <c r="C9" s="9">
        <v>61.2</v>
      </c>
      <c r="D9" s="9">
        <v>60.5</v>
      </c>
      <c r="E9" s="9">
        <v>59.8</v>
      </c>
      <c r="F9" s="9">
        <v>59.2</v>
      </c>
      <c r="G9" s="9">
        <v>58.4</v>
      </c>
      <c r="H9" s="9">
        <v>57.9</v>
      </c>
      <c r="I9" s="9">
        <v>57.8</v>
      </c>
      <c r="J9" s="9">
        <v>57.5</v>
      </c>
      <c r="K9" s="9">
        <v>57.1</v>
      </c>
      <c r="L9" s="9">
        <v>56.7</v>
      </c>
      <c r="M9" s="9">
        <v>56.2</v>
      </c>
      <c r="N9" s="9">
        <v>55.8</v>
      </c>
      <c r="O9" s="22">
        <v>59.5</v>
      </c>
      <c r="P9" s="9">
        <v>58.3</v>
      </c>
      <c r="Q9" s="9">
        <v>57</v>
      </c>
      <c r="R9" s="9">
        <v>56.4</v>
      </c>
      <c r="S9" s="9">
        <v>55.9</v>
      </c>
      <c r="T9" s="9">
        <v>52.732199999999999</v>
      </c>
      <c r="U9" s="9">
        <v>51.612099999999998</v>
      </c>
    </row>
    <row r="10" spans="1:21" ht="15" customHeight="1" x14ac:dyDescent="0.25">
      <c r="A10" s="6" t="s">
        <v>43</v>
      </c>
      <c r="B10" s="7">
        <v>69.2</v>
      </c>
      <c r="C10" s="7">
        <v>68.5</v>
      </c>
      <c r="D10" s="7">
        <v>67.8</v>
      </c>
      <c r="E10" s="7">
        <v>67.099999999999994</v>
      </c>
      <c r="F10" s="7">
        <v>66.400000000000006</v>
      </c>
      <c r="G10" s="7">
        <v>65.5</v>
      </c>
      <c r="H10" s="7">
        <v>64.8</v>
      </c>
      <c r="I10" s="7">
        <v>64.2</v>
      </c>
      <c r="J10" s="7">
        <v>63.8</v>
      </c>
      <c r="K10" s="7">
        <v>63.2</v>
      </c>
      <c r="L10" s="7">
        <v>62.8</v>
      </c>
      <c r="M10" s="7">
        <v>62.4</v>
      </c>
      <c r="N10" s="7">
        <v>61.8</v>
      </c>
      <c r="O10" s="22">
        <v>65.5</v>
      </c>
      <c r="P10" s="7">
        <v>64.5</v>
      </c>
      <c r="Q10" s="7">
        <v>63.3</v>
      </c>
      <c r="R10" s="7">
        <v>62.5</v>
      </c>
      <c r="S10" s="7">
        <v>62</v>
      </c>
      <c r="T10" s="7">
        <v>45.719700000000003</v>
      </c>
      <c r="U10" s="7">
        <v>42.695700000000002</v>
      </c>
    </row>
    <row r="11" spans="1:21" ht="15" customHeight="1" x14ac:dyDescent="0.25">
      <c r="A11" s="8" t="s">
        <v>44</v>
      </c>
      <c r="B11" s="9">
        <v>56.1</v>
      </c>
      <c r="C11" s="9">
        <v>55.4</v>
      </c>
      <c r="D11" s="9">
        <v>54.7</v>
      </c>
      <c r="E11" s="9">
        <v>54.1</v>
      </c>
      <c r="F11" s="9">
        <v>53.4</v>
      </c>
      <c r="G11" s="9">
        <v>52.6</v>
      </c>
      <c r="H11" s="9">
        <v>52.1</v>
      </c>
      <c r="I11" s="9">
        <v>51.8</v>
      </c>
      <c r="J11" s="9">
        <v>51.5</v>
      </c>
      <c r="K11" s="9">
        <v>51</v>
      </c>
      <c r="L11" s="9">
        <v>50.5</v>
      </c>
      <c r="M11" s="9">
        <v>49.9</v>
      </c>
      <c r="N11" s="9">
        <v>49.4</v>
      </c>
      <c r="O11" s="22">
        <v>52.8</v>
      </c>
      <c r="P11" s="9">
        <v>51.5</v>
      </c>
      <c r="Q11" s="9">
        <v>50.4</v>
      </c>
      <c r="R11" s="9">
        <v>49.5</v>
      </c>
      <c r="S11" s="9">
        <v>49.1</v>
      </c>
      <c r="T11" s="9">
        <v>36.834899999999998</v>
      </c>
      <c r="U11" s="9">
        <v>35.131799999999998</v>
      </c>
    </row>
    <row r="12" spans="1:21" ht="15" customHeight="1" x14ac:dyDescent="0.25">
      <c r="A12" s="6" t="s">
        <v>45</v>
      </c>
      <c r="B12" s="7">
        <v>73.8</v>
      </c>
      <c r="C12" s="7">
        <v>73.099999999999994</v>
      </c>
      <c r="D12" s="7">
        <v>72.5</v>
      </c>
      <c r="E12" s="7">
        <v>72</v>
      </c>
      <c r="F12" s="7">
        <v>71.400000000000006</v>
      </c>
      <c r="G12" s="7">
        <v>70.5</v>
      </c>
      <c r="H12" s="7">
        <v>70.2</v>
      </c>
      <c r="I12" s="7">
        <v>70.099999999999994</v>
      </c>
      <c r="J12" s="7">
        <v>69.900000000000006</v>
      </c>
      <c r="K12" s="7">
        <v>69.599999999999994</v>
      </c>
      <c r="L12" s="7">
        <v>69.2</v>
      </c>
      <c r="M12" s="7">
        <v>68.900000000000006</v>
      </c>
      <c r="N12" s="7">
        <v>68.5</v>
      </c>
      <c r="O12" s="22">
        <v>71.8</v>
      </c>
      <c r="P12" s="7">
        <v>70.8</v>
      </c>
      <c r="Q12" s="7">
        <v>69.7</v>
      </c>
      <c r="R12" s="7">
        <v>68.8</v>
      </c>
      <c r="S12" s="7">
        <v>68.400000000000006</v>
      </c>
      <c r="T12" s="7">
        <v>56.537100000000002</v>
      </c>
      <c r="U12" s="7">
        <v>54.488100000000003</v>
      </c>
    </row>
    <row r="13" spans="1:21" ht="15" customHeight="1" x14ac:dyDescent="0.25">
      <c r="A13" s="8" t="s">
        <v>46</v>
      </c>
      <c r="B13" s="9">
        <v>63.5</v>
      </c>
      <c r="C13" s="9">
        <v>62.8</v>
      </c>
      <c r="D13" s="9">
        <v>62.1</v>
      </c>
      <c r="E13" s="9">
        <v>61.5</v>
      </c>
      <c r="F13" s="9">
        <v>60.8</v>
      </c>
      <c r="G13" s="9">
        <v>60</v>
      </c>
      <c r="H13" s="9">
        <v>59.5</v>
      </c>
      <c r="I13" s="9">
        <v>59.3</v>
      </c>
      <c r="J13" s="9">
        <v>59</v>
      </c>
      <c r="K13" s="9">
        <v>58.5</v>
      </c>
      <c r="L13" s="9">
        <v>58</v>
      </c>
      <c r="M13" s="9">
        <v>57.5</v>
      </c>
      <c r="N13" s="9">
        <v>57</v>
      </c>
      <c r="O13" s="22">
        <v>61</v>
      </c>
      <c r="P13" s="9">
        <v>59.8</v>
      </c>
      <c r="Q13" s="9">
        <v>58.6</v>
      </c>
      <c r="R13" s="9">
        <v>57.8</v>
      </c>
      <c r="S13" s="9">
        <v>57.3</v>
      </c>
      <c r="T13" s="9">
        <v>40.6873</v>
      </c>
      <c r="U13" s="9">
        <v>39.333199999999998</v>
      </c>
    </row>
    <row r="14" spans="1:21" ht="15" customHeight="1" x14ac:dyDescent="0.25">
      <c r="A14" s="6" t="s">
        <v>47</v>
      </c>
      <c r="B14" s="7">
        <v>76.900000000000006</v>
      </c>
      <c r="C14" s="7">
        <v>76.2</v>
      </c>
      <c r="D14" s="7">
        <v>75.5</v>
      </c>
      <c r="E14" s="7">
        <v>74.8</v>
      </c>
      <c r="F14" s="7">
        <v>74.099999999999994</v>
      </c>
      <c r="G14" s="7">
        <v>73.2</v>
      </c>
      <c r="H14" s="7">
        <v>72.5</v>
      </c>
      <c r="I14" s="7">
        <v>72</v>
      </c>
      <c r="J14" s="7">
        <v>71.599999999999994</v>
      </c>
      <c r="K14" s="7">
        <v>71.099999999999994</v>
      </c>
      <c r="L14" s="7">
        <v>70.7</v>
      </c>
      <c r="M14" s="7">
        <v>70.3</v>
      </c>
      <c r="N14" s="7">
        <v>69.8</v>
      </c>
      <c r="O14" s="22">
        <v>73.5</v>
      </c>
      <c r="P14" s="7">
        <v>72.5</v>
      </c>
      <c r="Q14" s="7">
        <v>71.3</v>
      </c>
      <c r="R14" s="7">
        <v>70.5</v>
      </c>
      <c r="S14" s="7">
        <v>70.099999999999994</v>
      </c>
      <c r="T14" s="7">
        <v>62.13</v>
      </c>
      <c r="U14" s="7">
        <v>62.294400000000003</v>
      </c>
    </row>
    <row r="15" spans="1:21" ht="15" customHeight="1" x14ac:dyDescent="0.25">
      <c r="A15" s="8" t="s">
        <v>48</v>
      </c>
      <c r="B15" s="9">
        <v>66.099999999999994</v>
      </c>
      <c r="C15" s="9">
        <v>65.400000000000006</v>
      </c>
      <c r="D15" s="9">
        <v>64.7</v>
      </c>
      <c r="E15" s="9">
        <v>64.099999999999994</v>
      </c>
      <c r="F15" s="9">
        <v>63.4</v>
      </c>
      <c r="G15" s="9">
        <v>63</v>
      </c>
      <c r="H15" s="9">
        <v>62.5</v>
      </c>
      <c r="I15" s="9">
        <v>62.2</v>
      </c>
      <c r="J15" s="9">
        <v>62</v>
      </c>
      <c r="K15" s="9">
        <v>61.5</v>
      </c>
      <c r="L15" s="9">
        <v>61</v>
      </c>
      <c r="M15" s="9">
        <v>60.5</v>
      </c>
      <c r="N15" s="9">
        <v>60</v>
      </c>
      <c r="O15" s="22">
        <v>64</v>
      </c>
      <c r="P15" s="9">
        <v>62.9</v>
      </c>
      <c r="Q15" s="9">
        <v>61.8</v>
      </c>
      <c r="R15" s="9">
        <v>61.1</v>
      </c>
      <c r="S15" s="9">
        <v>60.6</v>
      </c>
      <c r="T15" s="9">
        <v>48.540599999999998</v>
      </c>
      <c r="U15" s="9">
        <v>45.341700000000003</v>
      </c>
    </row>
    <row r="16" spans="1:21" ht="15" customHeight="1" x14ac:dyDescent="0.25">
      <c r="A16" s="6" t="s">
        <v>49</v>
      </c>
      <c r="B16" s="7">
        <v>80.2</v>
      </c>
      <c r="C16" s="7">
        <v>79.5</v>
      </c>
      <c r="D16" s="7">
        <v>78.8</v>
      </c>
      <c r="E16" s="7">
        <v>78.2</v>
      </c>
      <c r="F16" s="7">
        <v>77.5</v>
      </c>
      <c r="G16" s="7">
        <v>77</v>
      </c>
      <c r="H16" s="7">
        <v>76.5</v>
      </c>
      <c r="I16" s="7">
        <v>76</v>
      </c>
      <c r="J16" s="7">
        <v>75.7</v>
      </c>
      <c r="K16" s="7">
        <v>75.2</v>
      </c>
      <c r="L16" s="7">
        <v>74.8</v>
      </c>
      <c r="M16" s="7">
        <v>74.400000000000006</v>
      </c>
      <c r="N16" s="7">
        <v>73.900000000000006</v>
      </c>
      <c r="O16" s="22">
        <v>77.5</v>
      </c>
      <c r="P16" s="7">
        <v>76.5</v>
      </c>
      <c r="Q16" s="7">
        <v>75.400000000000006</v>
      </c>
      <c r="R16" s="7">
        <v>74.5</v>
      </c>
      <c r="S16" s="7">
        <v>74.099999999999994</v>
      </c>
      <c r="T16" s="7">
        <v>61.6021</v>
      </c>
      <c r="U16" s="7">
        <v>55.817300000000003</v>
      </c>
    </row>
    <row r="17" spans="1:21" ht="15" customHeight="1" x14ac:dyDescent="0.25">
      <c r="A17" s="8" t="s">
        <v>50</v>
      </c>
      <c r="B17" s="9">
        <v>61.5</v>
      </c>
      <c r="C17" s="9">
        <v>60.8</v>
      </c>
      <c r="D17" s="9">
        <v>60.2</v>
      </c>
      <c r="E17" s="9">
        <v>59.5</v>
      </c>
      <c r="F17" s="9">
        <v>58.8</v>
      </c>
      <c r="G17" s="9">
        <v>58.2</v>
      </c>
      <c r="H17" s="9">
        <v>57.8</v>
      </c>
      <c r="I17" s="9">
        <v>57.5</v>
      </c>
      <c r="J17" s="9">
        <v>57.2</v>
      </c>
      <c r="K17" s="9">
        <v>56.9</v>
      </c>
      <c r="L17" s="9">
        <v>56.5</v>
      </c>
      <c r="M17" s="9">
        <v>56.1</v>
      </c>
      <c r="N17" s="9">
        <v>55.6</v>
      </c>
      <c r="O17" s="22">
        <v>59.5</v>
      </c>
      <c r="P17" s="9">
        <v>58.2</v>
      </c>
      <c r="Q17" s="9">
        <v>57</v>
      </c>
      <c r="R17" s="9">
        <v>56.3</v>
      </c>
      <c r="S17" s="9">
        <v>55.8</v>
      </c>
      <c r="T17" s="9">
        <v>49.305799999999998</v>
      </c>
      <c r="U17" s="9">
        <v>45.7121</v>
      </c>
    </row>
    <row r="18" spans="1:21" ht="15" customHeight="1" x14ac:dyDescent="0.25">
      <c r="A18" s="6" t="s">
        <v>51</v>
      </c>
      <c r="B18" s="7">
        <v>66.900000000000006</v>
      </c>
      <c r="C18" s="7">
        <v>66.2</v>
      </c>
      <c r="D18" s="7">
        <v>65.5</v>
      </c>
      <c r="E18" s="7">
        <v>64.8</v>
      </c>
      <c r="F18" s="7">
        <v>64.099999999999994</v>
      </c>
      <c r="G18" s="7">
        <v>63.5</v>
      </c>
      <c r="H18" s="7">
        <v>63</v>
      </c>
      <c r="I18" s="7">
        <v>62.7</v>
      </c>
      <c r="J18" s="7">
        <v>62.5</v>
      </c>
      <c r="K18" s="7">
        <v>62.1</v>
      </c>
      <c r="L18" s="7">
        <v>61.7</v>
      </c>
      <c r="M18" s="7">
        <v>61.3</v>
      </c>
      <c r="N18" s="7">
        <v>60.8</v>
      </c>
      <c r="O18" s="22">
        <v>64.8</v>
      </c>
      <c r="P18" s="7">
        <v>63.5</v>
      </c>
      <c r="Q18" s="7">
        <v>62.4</v>
      </c>
      <c r="R18" s="7">
        <v>61.6</v>
      </c>
      <c r="S18" s="7">
        <v>61.1</v>
      </c>
      <c r="T18" s="7">
        <v>53.562899999999999</v>
      </c>
      <c r="U18" s="7">
        <v>51.420400000000001</v>
      </c>
    </row>
    <row r="19" spans="1:21" ht="15" customHeight="1" x14ac:dyDescent="0.25">
      <c r="A19" s="8" t="s">
        <v>52</v>
      </c>
      <c r="B19" s="9">
        <v>66.5</v>
      </c>
      <c r="C19" s="9">
        <v>65.8</v>
      </c>
      <c r="D19" s="9">
        <v>65.099999999999994</v>
      </c>
      <c r="E19" s="9">
        <v>64.5</v>
      </c>
      <c r="F19" s="9">
        <v>63.8</v>
      </c>
      <c r="G19" s="9">
        <v>63.2</v>
      </c>
      <c r="H19" s="9">
        <v>62.8</v>
      </c>
      <c r="I19" s="9">
        <v>62.5</v>
      </c>
      <c r="J19" s="9">
        <v>62.3</v>
      </c>
      <c r="K19" s="9">
        <v>62</v>
      </c>
      <c r="L19" s="9">
        <v>61.6</v>
      </c>
      <c r="M19" s="9">
        <v>61.2</v>
      </c>
      <c r="N19" s="9">
        <v>60.7</v>
      </c>
      <c r="O19" s="22">
        <v>64.5</v>
      </c>
      <c r="P19" s="9">
        <v>63.2</v>
      </c>
      <c r="Q19" s="9">
        <v>62.1</v>
      </c>
      <c r="R19" s="9">
        <v>61.3</v>
      </c>
      <c r="S19" s="9">
        <v>60.8</v>
      </c>
      <c r="T19" s="9">
        <v>40.558199999999999</v>
      </c>
      <c r="U19" s="9">
        <v>34.870100000000001</v>
      </c>
    </row>
    <row r="20" spans="1:21" ht="15" customHeight="1" x14ac:dyDescent="0.25">
      <c r="A20" s="6" t="s">
        <v>53</v>
      </c>
      <c r="B20" s="7">
        <v>81.2</v>
      </c>
      <c r="C20" s="7">
        <v>80.5</v>
      </c>
      <c r="D20" s="7">
        <v>79.8</v>
      </c>
      <c r="E20" s="7">
        <v>79.2</v>
      </c>
      <c r="F20" s="7">
        <v>78.5</v>
      </c>
      <c r="G20" s="7">
        <v>77.8</v>
      </c>
      <c r="H20" s="7">
        <v>77.400000000000006</v>
      </c>
      <c r="I20" s="7">
        <v>77.099999999999994</v>
      </c>
      <c r="J20" s="7">
        <v>76.8</v>
      </c>
      <c r="K20" s="7">
        <v>76.3</v>
      </c>
      <c r="L20" s="7">
        <v>75.900000000000006</v>
      </c>
      <c r="M20" s="7">
        <v>75.5</v>
      </c>
      <c r="N20" s="7">
        <v>75.099999999999994</v>
      </c>
      <c r="O20" s="22">
        <v>78.8</v>
      </c>
      <c r="P20" s="7">
        <v>77.8</v>
      </c>
      <c r="Q20" s="7">
        <v>76.7</v>
      </c>
      <c r="R20" s="7">
        <v>75.8</v>
      </c>
      <c r="S20" s="7">
        <v>75.400000000000006</v>
      </c>
      <c r="T20" s="7">
        <v>54.416699999999999</v>
      </c>
      <c r="U20" s="7">
        <v>54.399700000000003</v>
      </c>
    </row>
    <row r="21" spans="1:21" ht="15" customHeight="1" x14ac:dyDescent="0.25">
      <c r="A21" s="8" t="s">
        <v>54</v>
      </c>
      <c r="B21" s="9">
        <v>74.5</v>
      </c>
      <c r="C21" s="9">
        <v>73.8</v>
      </c>
      <c r="D21" s="9">
        <v>73.099999999999994</v>
      </c>
      <c r="E21" s="9">
        <v>72.5</v>
      </c>
      <c r="F21" s="9">
        <v>71.8</v>
      </c>
      <c r="G21" s="9">
        <v>71.2</v>
      </c>
      <c r="H21" s="9">
        <v>70.7</v>
      </c>
      <c r="I21" s="9">
        <v>70.5</v>
      </c>
      <c r="J21" s="9">
        <v>70.2</v>
      </c>
      <c r="K21" s="9">
        <v>69.8</v>
      </c>
      <c r="L21" s="9">
        <v>69.400000000000006</v>
      </c>
      <c r="M21" s="9">
        <v>69</v>
      </c>
      <c r="N21" s="9">
        <v>68.5</v>
      </c>
      <c r="O21" s="22">
        <v>72.400000000000006</v>
      </c>
      <c r="P21" s="9">
        <v>71.3</v>
      </c>
      <c r="Q21" s="9">
        <v>70.099999999999994</v>
      </c>
      <c r="R21" s="9">
        <v>69.400000000000006</v>
      </c>
      <c r="S21" s="9">
        <v>68.900000000000006</v>
      </c>
      <c r="T21" s="9">
        <v>57.064999999999998</v>
      </c>
      <c r="U21" s="9">
        <v>51.918399999999998</v>
      </c>
    </row>
    <row r="22" spans="1:21" ht="15" customHeight="1" x14ac:dyDescent="0.25">
      <c r="A22" s="6" t="s">
        <v>55</v>
      </c>
      <c r="B22" s="7">
        <v>73.2</v>
      </c>
      <c r="C22" s="7">
        <v>72.5</v>
      </c>
      <c r="D22" s="7">
        <v>71.8</v>
      </c>
      <c r="E22" s="7">
        <v>71.2</v>
      </c>
      <c r="F22" s="7">
        <v>70.5</v>
      </c>
      <c r="G22" s="7">
        <v>69.8</v>
      </c>
      <c r="H22" s="7">
        <v>69.400000000000006</v>
      </c>
      <c r="I22" s="7">
        <v>69.099999999999994</v>
      </c>
      <c r="J22" s="7">
        <v>68.8</v>
      </c>
      <c r="K22" s="7">
        <v>68.400000000000006</v>
      </c>
      <c r="L22" s="7">
        <v>68</v>
      </c>
      <c r="M22" s="7">
        <v>67.599999999999994</v>
      </c>
      <c r="N22" s="7">
        <v>67.099999999999994</v>
      </c>
      <c r="O22" s="22">
        <v>70.8</v>
      </c>
      <c r="P22" s="7">
        <v>69.8</v>
      </c>
      <c r="Q22" s="7">
        <v>68.7</v>
      </c>
      <c r="R22" s="7">
        <v>67.900000000000006</v>
      </c>
      <c r="S22" s="7">
        <v>67.400000000000006</v>
      </c>
      <c r="T22" s="7">
        <v>64.576499999999996</v>
      </c>
      <c r="U22" s="7">
        <v>62.209600000000002</v>
      </c>
    </row>
    <row r="23" spans="1:21" ht="15" customHeight="1" x14ac:dyDescent="0.25">
      <c r="A23" s="8" t="s">
        <v>56</v>
      </c>
      <c r="B23" s="9">
        <v>84.2</v>
      </c>
      <c r="C23" s="9">
        <v>83.5</v>
      </c>
      <c r="D23" s="9">
        <v>82.8</v>
      </c>
      <c r="E23" s="9">
        <v>82.2</v>
      </c>
      <c r="F23" s="9">
        <v>81.5</v>
      </c>
      <c r="G23" s="9">
        <v>80.8</v>
      </c>
      <c r="H23" s="9">
        <v>80.400000000000006</v>
      </c>
      <c r="I23" s="9">
        <v>80.099999999999994</v>
      </c>
      <c r="J23" s="9">
        <v>79.8</v>
      </c>
      <c r="K23" s="9">
        <v>79.3</v>
      </c>
      <c r="L23" s="9">
        <v>78.900000000000006</v>
      </c>
      <c r="M23" s="9">
        <v>78.5</v>
      </c>
      <c r="N23" s="9">
        <v>78.099999999999994</v>
      </c>
      <c r="O23" s="22">
        <v>81.8</v>
      </c>
      <c r="P23" s="9">
        <v>80.8</v>
      </c>
      <c r="Q23" s="9">
        <v>79.7</v>
      </c>
      <c r="R23" s="9">
        <v>78.900000000000006</v>
      </c>
      <c r="S23" s="9">
        <v>78.400000000000006</v>
      </c>
      <c r="T23" s="9">
        <v>58.622599999999998</v>
      </c>
      <c r="U23" s="9">
        <v>54.1631</v>
      </c>
    </row>
    <row r="24" spans="1:21" ht="15" customHeight="1" x14ac:dyDescent="0.25">
      <c r="A24" s="6" t="s">
        <v>57</v>
      </c>
      <c r="B24" s="7">
        <v>70.5</v>
      </c>
      <c r="C24" s="7">
        <v>69.8</v>
      </c>
      <c r="D24" s="7">
        <v>69.099999999999994</v>
      </c>
      <c r="E24" s="7">
        <v>68.5</v>
      </c>
      <c r="F24" s="7">
        <v>67.8</v>
      </c>
      <c r="G24" s="7">
        <v>67.2</v>
      </c>
      <c r="H24" s="7">
        <v>66.7</v>
      </c>
      <c r="I24" s="7">
        <v>66.5</v>
      </c>
      <c r="J24" s="7">
        <v>66.2</v>
      </c>
      <c r="K24" s="7">
        <v>65.8</v>
      </c>
      <c r="L24" s="7">
        <v>65.400000000000006</v>
      </c>
      <c r="M24" s="7">
        <v>65</v>
      </c>
      <c r="N24" s="7">
        <v>64.5</v>
      </c>
      <c r="O24" s="22">
        <v>68.2</v>
      </c>
      <c r="P24" s="7">
        <v>67.099999999999994</v>
      </c>
      <c r="Q24" s="7">
        <v>66</v>
      </c>
      <c r="R24" s="7">
        <v>65.2</v>
      </c>
      <c r="S24" s="7">
        <v>64.8</v>
      </c>
      <c r="T24" s="7">
        <v>51.8187</v>
      </c>
      <c r="U24" s="7">
        <v>45.356000000000002</v>
      </c>
    </row>
    <row r="25" spans="1:21" ht="15" customHeight="1" x14ac:dyDescent="0.25">
      <c r="A25" s="8" t="s">
        <v>58</v>
      </c>
      <c r="B25" s="9">
        <v>78.900000000000006</v>
      </c>
      <c r="C25" s="9">
        <v>78.2</v>
      </c>
      <c r="D25" s="9">
        <v>77.5</v>
      </c>
      <c r="E25" s="9">
        <v>76.900000000000006</v>
      </c>
      <c r="F25" s="9">
        <v>76.2</v>
      </c>
      <c r="G25" s="9">
        <v>75.5</v>
      </c>
      <c r="H25" s="9">
        <v>75.099999999999994</v>
      </c>
      <c r="I25" s="9">
        <v>74.8</v>
      </c>
      <c r="J25" s="9">
        <v>74.5</v>
      </c>
      <c r="K25" s="9">
        <v>74.099999999999994</v>
      </c>
      <c r="L25" s="9">
        <v>73.7</v>
      </c>
      <c r="M25" s="9">
        <v>73.3</v>
      </c>
      <c r="N25" s="9">
        <v>72.8</v>
      </c>
      <c r="O25" s="22">
        <v>76.5</v>
      </c>
      <c r="P25" s="9">
        <v>75.5</v>
      </c>
      <c r="Q25" s="9">
        <v>74.400000000000006</v>
      </c>
      <c r="R25" s="9">
        <v>73.599999999999994</v>
      </c>
      <c r="S25" s="9">
        <v>73.099999999999994</v>
      </c>
      <c r="T25" s="9">
        <v>62.372599999999998</v>
      </c>
      <c r="U25" s="9">
        <v>60.6586</v>
      </c>
    </row>
    <row r="26" spans="1:21" ht="15" customHeight="1" x14ac:dyDescent="0.25">
      <c r="A26" s="6" t="s">
        <v>59</v>
      </c>
      <c r="B26" s="7">
        <v>64.2</v>
      </c>
      <c r="C26" s="7">
        <v>63.5</v>
      </c>
      <c r="D26" s="7">
        <v>62.8</v>
      </c>
      <c r="E26" s="7">
        <v>62.2</v>
      </c>
      <c r="F26" s="7">
        <v>61.5</v>
      </c>
      <c r="G26" s="7">
        <v>60.9</v>
      </c>
      <c r="H26" s="7">
        <v>60.4</v>
      </c>
      <c r="I26" s="7">
        <v>60.2</v>
      </c>
      <c r="J26" s="7">
        <v>59.9</v>
      </c>
      <c r="K26" s="7">
        <v>59.5</v>
      </c>
      <c r="L26" s="7">
        <v>59.1</v>
      </c>
      <c r="M26" s="7">
        <v>58.7</v>
      </c>
      <c r="N26" s="7">
        <v>58.2</v>
      </c>
      <c r="O26" s="22">
        <v>62</v>
      </c>
      <c r="P26" s="7">
        <v>60.8</v>
      </c>
      <c r="Q26" s="7">
        <v>59.7</v>
      </c>
      <c r="R26" s="7">
        <v>58.9</v>
      </c>
      <c r="S26" s="7">
        <v>58.4</v>
      </c>
      <c r="T26" s="7">
        <v>58.768599999999999</v>
      </c>
      <c r="U26" s="7">
        <v>59.950800000000001</v>
      </c>
    </row>
    <row r="27" spans="1:21" ht="15" customHeight="1" x14ac:dyDescent="0.25">
      <c r="A27" s="8" t="s">
        <v>60</v>
      </c>
      <c r="B27" s="9">
        <v>60.5</v>
      </c>
      <c r="C27" s="9">
        <v>59.8</v>
      </c>
      <c r="D27" s="9">
        <v>59.1</v>
      </c>
      <c r="E27" s="9">
        <v>58.5</v>
      </c>
      <c r="F27" s="9">
        <v>57.8</v>
      </c>
      <c r="G27" s="9">
        <v>57.2</v>
      </c>
      <c r="H27" s="9">
        <v>56.7</v>
      </c>
      <c r="I27" s="9">
        <v>56.5</v>
      </c>
      <c r="J27" s="9">
        <v>56.2</v>
      </c>
      <c r="K27" s="9">
        <v>55.8</v>
      </c>
      <c r="L27" s="9">
        <v>55.4</v>
      </c>
      <c r="M27" s="9">
        <v>55</v>
      </c>
      <c r="N27" s="9">
        <v>54.5</v>
      </c>
      <c r="O27" s="22">
        <v>58.1</v>
      </c>
      <c r="P27" s="9">
        <v>56.9</v>
      </c>
      <c r="Q27" s="9">
        <v>55.8</v>
      </c>
      <c r="R27" s="9">
        <v>55</v>
      </c>
      <c r="S27" s="9">
        <v>54.5</v>
      </c>
      <c r="T27" s="9">
        <v>43.815899999999999</v>
      </c>
      <c r="U27" s="9">
        <v>43.370800000000003</v>
      </c>
    </row>
    <row r="28" spans="1:21" ht="15" customHeight="1" x14ac:dyDescent="0.25">
      <c r="A28" s="6" t="s">
        <v>61</v>
      </c>
      <c r="B28" s="7">
        <v>73.900000000000006</v>
      </c>
      <c r="C28" s="7">
        <v>73.2</v>
      </c>
      <c r="D28" s="7">
        <v>72.5</v>
      </c>
      <c r="E28" s="7">
        <v>71.900000000000006</v>
      </c>
      <c r="F28" s="7">
        <v>71.2</v>
      </c>
      <c r="G28" s="7">
        <v>70.5</v>
      </c>
      <c r="H28" s="7">
        <v>70.099999999999994</v>
      </c>
      <c r="I28" s="7">
        <v>69.8</v>
      </c>
      <c r="J28" s="7">
        <v>69.5</v>
      </c>
      <c r="K28" s="7">
        <v>69.099999999999994</v>
      </c>
      <c r="L28" s="7">
        <v>68.7</v>
      </c>
      <c r="M28" s="7">
        <v>68.3</v>
      </c>
      <c r="N28" s="7">
        <v>67.8</v>
      </c>
      <c r="O28" s="22">
        <v>71.5</v>
      </c>
      <c r="P28" s="7">
        <v>70.5</v>
      </c>
      <c r="Q28" s="7">
        <v>69.3</v>
      </c>
      <c r="R28" s="7">
        <v>68.5</v>
      </c>
      <c r="S28" s="7">
        <v>68.099999999999994</v>
      </c>
      <c r="T28" s="7">
        <v>68.558000000000007</v>
      </c>
      <c r="U28" s="7">
        <v>67.237799999999993</v>
      </c>
    </row>
    <row r="30" spans="1:21" ht="4.5" customHeight="1" x14ac:dyDescent="0.25"/>
    <row r="31" spans="1:21" x14ac:dyDescent="0.25">
      <c r="A31" s="23" t="s">
        <v>108</v>
      </c>
      <c r="B31" s="24">
        <v>1.357218</v>
      </c>
      <c r="C31" s="24">
        <v>1.12127</v>
      </c>
      <c r="D31" s="24">
        <v>0.89073500000000005</v>
      </c>
      <c r="E31" s="24">
        <v>0.66238300000000006</v>
      </c>
      <c r="F31" s="24">
        <v>0.41775800000000002</v>
      </c>
      <c r="G31" s="24">
        <v>0.16359899999999999</v>
      </c>
      <c r="H31" s="24">
        <v>-3.1979E-2</v>
      </c>
      <c r="I31" s="24">
        <v>-0.13275500000000001</v>
      </c>
      <c r="J31" s="24">
        <v>-0.246582</v>
      </c>
      <c r="K31" s="24">
        <v>-0.40215299999999998</v>
      </c>
      <c r="L31" s="24">
        <v>-0.56822899999999998</v>
      </c>
      <c r="M31" s="24">
        <v>-0.72806999999999999</v>
      </c>
      <c r="N31" s="24">
        <v>-0.91881199999999996</v>
      </c>
      <c r="O31" s="24">
        <v>0.44356899999999999</v>
      </c>
      <c r="P31" s="24">
        <v>7.6169999999999996E-3</v>
      </c>
      <c r="Q31" s="24">
        <v>-0.427199</v>
      </c>
      <c r="R31" s="24">
        <v>-0.71319699999999997</v>
      </c>
      <c r="S31" s="24">
        <v>-0.89517199999999997</v>
      </c>
      <c r="T31" s="24">
        <v>-4.7149617396535248</v>
      </c>
      <c r="U31" s="24">
        <v>-5.6456896370128602</v>
      </c>
    </row>
  </sheetData>
  <mergeCells count="2">
    <mergeCell ref="A1:U2"/>
    <mergeCell ref="A3:U3"/>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C3E50"/>
  </sheetPr>
  <dimension ref="A1:F76"/>
  <sheetViews>
    <sheetView showGridLines="0" workbookViewId="0">
      <selection sqref="A1:F2"/>
    </sheetView>
  </sheetViews>
  <sheetFormatPr baseColWidth="10" defaultColWidth="8.7109375" defaultRowHeight="15" x14ac:dyDescent="0.25"/>
  <cols>
    <col min="1" max="1" width="8" customWidth="1"/>
    <col min="2" max="2" width="20" customWidth="1"/>
    <col min="3" max="3" width="22" customWidth="1"/>
    <col min="4" max="5" width="18" customWidth="1"/>
    <col min="6" max="6" width="12" customWidth="1"/>
  </cols>
  <sheetData>
    <row r="1" spans="1:6" ht="30" customHeight="1" x14ac:dyDescent="0.25">
      <c r="A1" s="55" t="s">
        <v>109</v>
      </c>
      <c r="B1" s="44"/>
      <c r="C1" s="44"/>
      <c r="D1" s="44"/>
      <c r="E1" s="44"/>
      <c r="F1" s="44"/>
    </row>
    <row r="2" spans="1:6" x14ac:dyDescent="0.25">
      <c r="A2" s="44"/>
      <c r="B2" s="44"/>
      <c r="C2" s="44"/>
      <c r="D2" s="44"/>
      <c r="E2" s="44"/>
      <c r="F2" s="44"/>
    </row>
    <row r="4" spans="1:6" x14ac:dyDescent="0.25">
      <c r="A4" s="60" t="s">
        <v>110</v>
      </c>
      <c r="B4" s="44"/>
      <c r="C4" s="44"/>
      <c r="D4" s="44"/>
      <c r="E4" s="44"/>
      <c r="F4" s="44"/>
    </row>
    <row r="5" spans="1:6" ht="15.75" customHeight="1" x14ac:dyDescent="0.25">
      <c r="A5" s="6" t="s">
        <v>111</v>
      </c>
      <c r="B5" s="25" t="s">
        <v>18</v>
      </c>
      <c r="C5" s="59" t="s">
        <v>112</v>
      </c>
      <c r="D5" s="57"/>
      <c r="E5" s="57"/>
      <c r="F5" s="58"/>
    </row>
    <row r="6" spans="1:6" ht="15.75" customHeight="1" x14ac:dyDescent="0.25">
      <c r="A6" s="8" t="s">
        <v>113</v>
      </c>
      <c r="B6" s="26" t="s">
        <v>114</v>
      </c>
      <c r="C6" s="56" t="s">
        <v>115</v>
      </c>
      <c r="D6" s="57"/>
      <c r="E6" s="57"/>
      <c r="F6" s="58"/>
    </row>
    <row r="7" spans="1:6" ht="15.75" customHeight="1" x14ac:dyDescent="0.25">
      <c r="A7" s="6" t="s">
        <v>116</v>
      </c>
      <c r="B7" s="25" t="s">
        <v>117</v>
      </c>
      <c r="C7" s="59" t="s">
        <v>118</v>
      </c>
      <c r="D7" s="57"/>
      <c r="E7" s="57"/>
      <c r="F7" s="58"/>
    </row>
    <row r="8" spans="1:6" ht="15.75" customHeight="1" x14ac:dyDescent="0.25">
      <c r="A8" s="8" t="s">
        <v>119</v>
      </c>
      <c r="B8" s="26" t="s">
        <v>120</v>
      </c>
      <c r="C8" s="56" t="s">
        <v>121</v>
      </c>
      <c r="D8" s="57"/>
      <c r="E8" s="57"/>
      <c r="F8" s="58"/>
    </row>
    <row r="9" spans="1:6" ht="15.75" customHeight="1" x14ac:dyDescent="0.25">
      <c r="A9" s="6" t="s">
        <v>122</v>
      </c>
      <c r="B9" s="25" t="s">
        <v>123</v>
      </c>
      <c r="C9" s="59" t="s">
        <v>124</v>
      </c>
      <c r="D9" s="57"/>
      <c r="E9" s="57"/>
      <c r="F9" s="58"/>
    </row>
    <row r="12" spans="1:6" x14ac:dyDescent="0.25">
      <c r="A12" s="60" t="s">
        <v>125</v>
      </c>
      <c r="B12" s="44"/>
      <c r="C12" s="44"/>
      <c r="D12" s="44"/>
      <c r="E12" s="44"/>
      <c r="F12" s="44"/>
    </row>
    <row r="13" spans="1:6" ht="21.75" customHeight="1" x14ac:dyDescent="0.25">
      <c r="A13" s="5" t="s">
        <v>21</v>
      </c>
      <c r="B13" s="5" t="s">
        <v>126</v>
      </c>
      <c r="C13" s="5" t="s">
        <v>127</v>
      </c>
      <c r="D13" s="5" t="s">
        <v>128</v>
      </c>
      <c r="E13" s="5" t="s">
        <v>129</v>
      </c>
      <c r="F13" s="5" t="s">
        <v>130</v>
      </c>
    </row>
    <row r="14" spans="1:6" ht="15" customHeight="1" x14ac:dyDescent="0.25">
      <c r="A14" s="6" t="s">
        <v>39</v>
      </c>
      <c r="B14" s="27">
        <v>-0.813608</v>
      </c>
      <c r="C14" s="27">
        <v>5.8977000000000002E-2</v>
      </c>
      <c r="D14" s="11">
        <f>'Historico_GEIH_2007-2026'!$M$6</f>
        <v>42.6</v>
      </c>
      <c r="E14" s="11">
        <f>Tasas_Informalidad_Proy!$B$6</f>
        <v>41.394199999999998</v>
      </c>
      <c r="F14" s="28">
        <f>Tasas_Informalidad_Proy!$R$6-'Historico_GEIH_2007-2026'!$M$6</f>
        <v>-6.0707000000000022</v>
      </c>
    </row>
    <row r="15" spans="1:6" ht="15" customHeight="1" x14ac:dyDescent="0.25">
      <c r="A15" s="8" t="s">
        <v>40</v>
      </c>
      <c r="B15" s="29">
        <v>-0.78886000000000001</v>
      </c>
      <c r="C15" s="29">
        <v>7.4556999999999998E-2</v>
      </c>
      <c r="D15" s="14">
        <f>'Historico_GEIH_2007-2026'!$M$7</f>
        <v>43.2</v>
      </c>
      <c r="E15" s="14">
        <f>Tasas_Informalidad_Proy!$B$7</f>
        <v>41.671300000000002</v>
      </c>
      <c r="F15" s="30">
        <f>Tasas_Informalidad_Proy!$R$7-'Historico_GEIH_2007-2026'!$M$7</f>
        <v>-7.620900000000006</v>
      </c>
    </row>
    <row r="16" spans="1:6" ht="15" customHeight="1" x14ac:dyDescent="0.25">
      <c r="A16" s="6" t="s">
        <v>41</v>
      </c>
      <c r="B16" s="27">
        <v>-0.64856599999999998</v>
      </c>
      <c r="C16" s="27">
        <v>5.9124999999999997E-2</v>
      </c>
      <c r="D16" s="11">
        <f>'Historico_GEIH_2007-2026'!$M$8</f>
        <v>50.3</v>
      </c>
      <c r="E16" s="11">
        <f>Tasas_Informalidad_Proy!$B$8</f>
        <v>48.813600000000001</v>
      </c>
      <c r="F16" s="28">
        <f>Tasas_Informalidad_Proy!$R$8-'Historico_GEIH_2007-2026'!$M$8</f>
        <v>-7.236699999999999</v>
      </c>
    </row>
    <row r="17" spans="1:6" ht="15" customHeight="1" x14ac:dyDescent="0.25">
      <c r="A17" s="8" t="s">
        <v>42</v>
      </c>
      <c r="B17" s="29">
        <v>-0.54222700000000001</v>
      </c>
      <c r="C17" s="29">
        <v>4.5109999999999997E-2</v>
      </c>
      <c r="D17" s="14">
        <f>'Historico_GEIH_2007-2026'!$M$9</f>
        <v>56.2</v>
      </c>
      <c r="E17" s="14">
        <f>Tasas_Informalidad_Proy!$B$9</f>
        <v>55.180399999999999</v>
      </c>
      <c r="F17" s="30">
        <f>Tasas_Informalidad_Proy!$R$9-'Historico_GEIH_2007-2026'!$M$9</f>
        <v>-6.0519000000000034</v>
      </c>
    </row>
    <row r="18" spans="1:6" ht="15" customHeight="1" x14ac:dyDescent="0.25">
      <c r="A18" s="6" t="s">
        <v>43</v>
      </c>
      <c r="B18" s="27">
        <v>-0.43539099999999997</v>
      </c>
      <c r="C18" s="27">
        <v>5.0341999999999998E-2</v>
      </c>
      <c r="D18" s="11">
        <f>'Historico_GEIH_2007-2026'!$M$10</f>
        <v>62.4</v>
      </c>
      <c r="E18" s="11">
        <f>Tasas_Informalidad_Proy!$B$10</f>
        <v>61.030500000000004</v>
      </c>
      <c r="F18" s="28">
        <f>Tasas_Informalidad_Proy!$R$10-'Historico_GEIH_2007-2026'!$M$10</f>
        <v>-7.5471000000000004</v>
      </c>
    </row>
    <row r="19" spans="1:6" ht="15" customHeight="1" x14ac:dyDescent="0.25">
      <c r="A19" s="8" t="s">
        <v>44</v>
      </c>
      <c r="B19" s="29">
        <v>-0.65490599999999999</v>
      </c>
      <c r="C19" s="29">
        <v>5.7507000000000003E-2</v>
      </c>
      <c r="D19" s="14">
        <f>'Historico_GEIH_2007-2026'!$M$11</f>
        <v>49.9</v>
      </c>
      <c r="E19" s="14">
        <f>Tasas_Informalidad_Proy!$B$11</f>
        <v>48.596299999999999</v>
      </c>
      <c r="F19" s="30">
        <f>Tasas_Informalidad_Proy!$R$11-'Historico_GEIH_2007-2026'!$M$11</f>
        <v>-6.8811999999999998</v>
      </c>
    </row>
    <row r="20" spans="1:6" ht="15" customHeight="1" x14ac:dyDescent="0.25">
      <c r="A20" s="6" t="s">
        <v>45</v>
      </c>
      <c r="B20" s="27">
        <v>-0.34964400000000001</v>
      </c>
      <c r="C20" s="27">
        <v>3.2627000000000003E-2</v>
      </c>
      <c r="D20" s="11">
        <f>'Historico_GEIH_2007-2026'!$M$12</f>
        <v>68.900000000000006</v>
      </c>
      <c r="E20" s="11">
        <f>Tasas_Informalidad_Proy!$B$12</f>
        <v>67.875399999999999</v>
      </c>
      <c r="F20" s="28">
        <f>Tasas_Informalidad_Proy!$R$12-'Historico_GEIH_2007-2026'!$M$12</f>
        <v>-5.5605000000000047</v>
      </c>
    </row>
    <row r="21" spans="1:6" ht="15" customHeight="1" x14ac:dyDescent="0.25">
      <c r="A21" s="8" t="s">
        <v>46</v>
      </c>
      <c r="B21" s="29">
        <v>-0.51688999999999996</v>
      </c>
      <c r="C21" s="29">
        <v>4.6493E-2</v>
      </c>
      <c r="D21" s="14">
        <f>'Historico_GEIH_2007-2026'!$M$13</f>
        <v>57.5</v>
      </c>
      <c r="E21" s="14">
        <f>Tasas_Informalidad_Proy!$B$13</f>
        <v>56.505600000000001</v>
      </c>
      <c r="F21" s="30">
        <f>Tasas_Informalidad_Proy!$R$13-'Historico_GEIH_2007-2026'!$M$13</f>
        <v>-6.2980000000000018</v>
      </c>
    </row>
    <row r="22" spans="1:6" ht="15" customHeight="1" x14ac:dyDescent="0.25">
      <c r="A22" s="6" t="s">
        <v>47</v>
      </c>
      <c r="B22" s="27">
        <v>-0.32078000000000001</v>
      </c>
      <c r="C22" s="27">
        <v>4.2889999999999998E-2</v>
      </c>
      <c r="D22" s="11">
        <f>'Historico_GEIH_2007-2026'!$M$14</f>
        <v>70.3</v>
      </c>
      <c r="E22" s="11">
        <f>Tasas_Informalidad_Proy!$B$14</f>
        <v>69.036199999999994</v>
      </c>
      <c r="F22" s="28">
        <f>Tasas_Informalidad_Proy!$R$14-'Historico_GEIH_2007-2026'!$M$14</f>
        <v>-7.2637999999999963</v>
      </c>
    </row>
    <row r="23" spans="1:6" ht="15" customHeight="1" x14ac:dyDescent="0.25">
      <c r="A23" s="8" t="s">
        <v>48</v>
      </c>
      <c r="B23" s="29">
        <v>-0.46877099999999999</v>
      </c>
      <c r="C23" s="29">
        <v>3.9822999999999997E-2</v>
      </c>
      <c r="D23" s="14">
        <f>'Historico_GEIH_2007-2026'!$M$15</f>
        <v>60.5</v>
      </c>
      <c r="E23" s="14">
        <f>Tasas_Informalidad_Proy!$B$15</f>
        <v>59.751800000000003</v>
      </c>
      <c r="F23" s="30">
        <f>Tasas_Informalidad_Proy!$R$15-'Historico_GEIH_2007-2026'!$M$15</f>
        <v>-5.5853999999999999</v>
      </c>
    </row>
    <row r="24" spans="1:6" ht="15" customHeight="1" x14ac:dyDescent="0.25">
      <c r="A24" s="6" t="s">
        <v>49</v>
      </c>
      <c r="B24" s="27">
        <v>-0.26911000000000002</v>
      </c>
      <c r="C24" s="27">
        <v>3.5441E-2</v>
      </c>
      <c r="D24" s="11">
        <f>'Historico_GEIH_2007-2026'!$M$16</f>
        <v>74.400000000000006</v>
      </c>
      <c r="E24" s="11">
        <f>Tasas_Informalidad_Proy!$B$16</f>
        <v>73.328000000000003</v>
      </c>
      <c r="F24" s="28">
        <f>Tasas_Informalidad_Proy!$R$16-'Historico_GEIH_2007-2026'!$M$16</f>
        <v>-6.3792000000000115</v>
      </c>
    </row>
    <row r="25" spans="1:6" ht="15" customHeight="1" x14ac:dyDescent="0.25">
      <c r="A25" s="8" t="s">
        <v>50</v>
      </c>
      <c r="B25" s="29">
        <v>-0.54573300000000002</v>
      </c>
      <c r="C25" s="29">
        <v>4.3345000000000002E-2</v>
      </c>
      <c r="D25" s="14">
        <f>'Historico_GEIH_2007-2026'!$M$17</f>
        <v>56.1</v>
      </c>
      <c r="E25" s="14">
        <f>Tasas_Informalidad_Proy!$B$17</f>
        <v>55.1</v>
      </c>
      <c r="F25" s="30">
        <f>Tasas_Informalidad_Proy!$R$17-'Historico_GEIH_2007-2026'!$M$17</f>
        <v>-5.8374000000000024</v>
      </c>
    </row>
    <row r="26" spans="1:6" ht="15" customHeight="1" x14ac:dyDescent="0.25">
      <c r="A26" s="6" t="s">
        <v>51</v>
      </c>
      <c r="B26" s="27">
        <v>-0.458455</v>
      </c>
      <c r="C26" s="27">
        <v>4.0661999999999997E-2</v>
      </c>
      <c r="D26" s="11">
        <f>'Historico_GEIH_2007-2026'!$M$18</f>
        <v>61.3</v>
      </c>
      <c r="E26" s="11">
        <f>Tasas_Informalidad_Proy!$B$18</f>
        <v>60.312600000000003</v>
      </c>
      <c r="F26" s="28">
        <f>Tasas_Informalidad_Proy!$R$18-'Historico_GEIH_2007-2026'!$M$18</f>
        <v>-5.9684999999999988</v>
      </c>
    </row>
    <row r="27" spans="1:6" ht="15" customHeight="1" x14ac:dyDescent="0.25">
      <c r="A27" s="8" t="s">
        <v>52</v>
      </c>
      <c r="B27" s="29">
        <v>-0.462474</v>
      </c>
      <c r="C27" s="29">
        <v>3.9098000000000001E-2</v>
      </c>
      <c r="D27" s="14">
        <f>'Historico_GEIH_2007-2026'!$M$19</f>
        <v>61.2</v>
      </c>
      <c r="E27" s="14">
        <f>Tasas_Informalidad_Proy!$B$19</f>
        <v>60.179699999999997</v>
      </c>
      <c r="F27" s="30">
        <f>Tasas_Informalidad_Proy!$R$19-'Historico_GEIH_2007-2026'!$M$19</f>
        <v>-5.8071000000000055</v>
      </c>
    </row>
    <row r="28" spans="1:6" ht="15" customHeight="1" x14ac:dyDescent="0.25">
      <c r="A28" s="6" t="s">
        <v>53</v>
      </c>
      <c r="B28" s="27">
        <v>-0.25472</v>
      </c>
      <c r="C28" s="27">
        <v>3.3524999999999999E-2</v>
      </c>
      <c r="D28" s="11">
        <f>'Historico_GEIH_2007-2026'!$M$20</f>
        <v>75.5</v>
      </c>
      <c r="E28" s="11">
        <f>Tasas_Informalidad_Proy!$B$20</f>
        <v>74.556399999999996</v>
      </c>
      <c r="F28" s="28">
        <f>Tasas_Informalidad_Proy!$R$20-'Historico_GEIH_2007-2026'!$M$20</f>
        <v>-6.058400000000006</v>
      </c>
    </row>
    <row r="29" spans="1:6" ht="15" customHeight="1" x14ac:dyDescent="0.25">
      <c r="A29" s="8" t="s">
        <v>54</v>
      </c>
      <c r="B29" s="29">
        <v>-0.34348200000000001</v>
      </c>
      <c r="C29" s="29">
        <v>3.5332000000000002E-2</v>
      </c>
      <c r="D29" s="14">
        <f>'Historico_GEIH_2007-2026'!$M$21</f>
        <v>69</v>
      </c>
      <c r="E29" s="14">
        <f>Tasas_Informalidad_Proy!$B$21</f>
        <v>68.081000000000003</v>
      </c>
      <c r="F29" s="30">
        <f>Tasas_Informalidad_Proy!$R$21-'Historico_GEIH_2007-2026'!$M$21</f>
        <v>-5.8320000000000007</v>
      </c>
    </row>
    <row r="30" spans="1:6" ht="15" customHeight="1" x14ac:dyDescent="0.25">
      <c r="A30" s="6" t="s">
        <v>55</v>
      </c>
      <c r="B30" s="27">
        <v>-0.36335600000000001</v>
      </c>
      <c r="C30" s="27">
        <v>3.6926E-2</v>
      </c>
      <c r="D30" s="11">
        <f>'Historico_GEIH_2007-2026'!$M$22</f>
        <v>67.599999999999994</v>
      </c>
      <c r="E30" s="11">
        <f>Tasas_Informalidad_Proy!$B$22</f>
        <v>66.617900000000006</v>
      </c>
      <c r="F30" s="28">
        <f>Tasas_Informalidad_Proy!$R$22-'Historico_GEIH_2007-2026'!$M$22</f>
        <v>-5.9979999999999976</v>
      </c>
    </row>
    <row r="31" spans="1:6" ht="15" customHeight="1" x14ac:dyDescent="0.25">
      <c r="A31" s="8" t="s">
        <v>56</v>
      </c>
      <c r="B31" s="29">
        <v>-0.216667</v>
      </c>
      <c r="C31" s="29">
        <v>3.2170999999999998E-2</v>
      </c>
      <c r="D31" s="14">
        <f>'Historico_GEIH_2007-2026'!$M$23</f>
        <v>78.5</v>
      </c>
      <c r="E31" s="14">
        <f>Tasas_Informalidad_Proy!$B$23</f>
        <v>77.569900000000004</v>
      </c>
      <c r="F31" s="30">
        <f>Tasas_Informalidad_Proy!$R$23-'Historico_GEIH_2007-2026'!$M$23</f>
        <v>-6.0439999999999969</v>
      </c>
    </row>
    <row r="32" spans="1:6" ht="15" customHeight="1" x14ac:dyDescent="0.25">
      <c r="A32" s="6" t="s">
        <v>57</v>
      </c>
      <c r="B32" s="27">
        <v>-0.40221499999999999</v>
      </c>
      <c r="C32" s="27">
        <v>3.7784999999999999E-2</v>
      </c>
      <c r="D32" s="11">
        <f>'Historico_GEIH_2007-2026'!$M$24</f>
        <v>65</v>
      </c>
      <c r="E32" s="11">
        <f>Tasas_Informalidad_Proy!$B$24</f>
        <v>64.015100000000004</v>
      </c>
      <c r="F32" s="28">
        <f>Tasas_Informalidad_Proy!$R$24-'Historico_GEIH_2007-2026'!$M$24</f>
        <v>-5.9125999999999976</v>
      </c>
    </row>
    <row r="33" spans="1:6" ht="15" customHeight="1" x14ac:dyDescent="0.25">
      <c r="A33" s="8" t="s">
        <v>58</v>
      </c>
      <c r="B33" s="29">
        <v>-0.28454699999999999</v>
      </c>
      <c r="C33" s="29">
        <v>3.4143E-2</v>
      </c>
      <c r="D33" s="14">
        <f>'Historico_GEIH_2007-2026'!$M$25</f>
        <v>73.3</v>
      </c>
      <c r="E33" s="14">
        <f>Tasas_Informalidad_Proy!$B$25</f>
        <v>72.313599999999994</v>
      </c>
      <c r="F33" s="30">
        <f>Tasas_Informalidad_Proy!$R$25-'Historico_GEIH_2007-2026'!$M$25</f>
        <v>-6.0356000000000023</v>
      </c>
    </row>
    <row r="34" spans="1:6" ht="15" customHeight="1" x14ac:dyDescent="0.25">
      <c r="A34" s="6" t="s">
        <v>59</v>
      </c>
      <c r="B34" s="27">
        <v>-0.50118600000000002</v>
      </c>
      <c r="C34" s="27">
        <v>4.1965000000000002E-2</v>
      </c>
      <c r="D34" s="11">
        <f>'Historico_GEIH_2007-2026'!$M$26</f>
        <v>58.7</v>
      </c>
      <c r="E34" s="11">
        <f>Tasas_Informalidad_Proy!$B$26</f>
        <v>57.702300000000001</v>
      </c>
      <c r="F34" s="28">
        <f>Tasas_Informalidad_Proy!$R$26-'Historico_GEIH_2007-2026'!$M$26</f>
        <v>-5.9093000000000018</v>
      </c>
    </row>
    <row r="35" spans="1:6" ht="15" customHeight="1" x14ac:dyDescent="0.25">
      <c r="A35" s="8" t="s">
        <v>60</v>
      </c>
      <c r="B35" s="29">
        <v>-0.56522399999999995</v>
      </c>
      <c r="C35" s="29">
        <v>4.5393000000000003E-2</v>
      </c>
      <c r="D35" s="14">
        <f>'Historico_GEIH_2007-2026'!$M$27</f>
        <v>55</v>
      </c>
      <c r="E35" s="14">
        <f>Tasas_Informalidad_Proy!$B$27</f>
        <v>53.908200000000001</v>
      </c>
      <c r="F35" s="30">
        <f>Tasas_Informalidad_Proy!$R$27-'Historico_GEIH_2007-2026'!$M$27</f>
        <v>-6.0375999999999976</v>
      </c>
    </row>
    <row r="36" spans="1:6" ht="15" customHeight="1" x14ac:dyDescent="0.25">
      <c r="A36" s="6" t="s">
        <v>61</v>
      </c>
      <c r="B36" s="27">
        <v>-0.35349799999999998</v>
      </c>
      <c r="C36" s="27">
        <v>3.6762999999999997E-2</v>
      </c>
      <c r="D36" s="11">
        <f>'Historico_GEIH_2007-2026'!$M$28</f>
        <v>68.3</v>
      </c>
      <c r="E36" s="11">
        <f>Tasas_Informalidad_Proy!$B$28</f>
        <v>67.290700000000001</v>
      </c>
      <c r="F36" s="28">
        <f>Tasas_Informalidad_Proy!$R$28-'Historico_GEIH_2007-2026'!$M$28</f>
        <v>-6.054399999999994</v>
      </c>
    </row>
    <row r="39" spans="1:6" x14ac:dyDescent="0.25">
      <c r="A39" s="60" t="s">
        <v>131</v>
      </c>
      <c r="B39" s="44"/>
      <c r="C39" s="44"/>
      <c r="D39" s="44"/>
      <c r="E39" s="44"/>
      <c r="F39" s="44"/>
    </row>
    <row r="40" spans="1:6" ht="21.75" customHeight="1" x14ac:dyDescent="0.25">
      <c r="A40" s="5" t="s">
        <v>63</v>
      </c>
      <c r="B40" s="5" t="s">
        <v>132</v>
      </c>
      <c r="C40" s="5" t="s">
        <v>133</v>
      </c>
      <c r="D40" s="5" t="s">
        <v>134</v>
      </c>
      <c r="E40" s="5" t="s">
        <v>135</v>
      </c>
      <c r="F40" s="5" t="s">
        <v>136</v>
      </c>
    </row>
    <row r="41" spans="1:6" ht="13.5" customHeight="1" x14ac:dyDescent="0.25">
      <c r="A41" s="31">
        <v>2007</v>
      </c>
      <c r="B41" s="32">
        <v>1.357218</v>
      </c>
      <c r="C41" s="31"/>
      <c r="D41" s="31"/>
      <c r="E41" s="31"/>
      <c r="F41" s="31" t="s">
        <v>137</v>
      </c>
    </row>
    <row r="42" spans="1:6" ht="13.5" customHeight="1" x14ac:dyDescent="0.25">
      <c r="A42" s="31">
        <v>2008</v>
      </c>
      <c r="B42" s="32">
        <v>1.12127</v>
      </c>
      <c r="C42" s="31"/>
      <c r="D42" s="31"/>
      <c r="E42" s="31"/>
      <c r="F42" s="31" t="s">
        <v>137</v>
      </c>
    </row>
    <row r="43" spans="1:6" ht="13.5" customHeight="1" x14ac:dyDescent="0.25">
      <c r="A43" s="31">
        <v>2009</v>
      </c>
      <c r="B43" s="32">
        <v>0.89073500000000005</v>
      </c>
      <c r="C43" s="31"/>
      <c r="D43" s="31"/>
      <c r="E43" s="31"/>
      <c r="F43" s="31" t="s">
        <v>137</v>
      </c>
    </row>
    <row r="44" spans="1:6" ht="13.5" customHeight="1" x14ac:dyDescent="0.25">
      <c r="A44" s="31">
        <v>2010</v>
      </c>
      <c r="B44" s="32">
        <v>0.66238300000000006</v>
      </c>
      <c r="C44" s="31"/>
      <c r="D44" s="31"/>
      <c r="E44" s="31"/>
      <c r="F44" s="31" t="s">
        <v>137</v>
      </c>
    </row>
    <row r="45" spans="1:6" ht="13.5" customHeight="1" x14ac:dyDescent="0.25">
      <c r="A45" s="31">
        <v>2011</v>
      </c>
      <c r="B45" s="32">
        <v>0.41775800000000002</v>
      </c>
      <c r="C45" s="31"/>
      <c r="D45" s="31"/>
      <c r="E45" s="31"/>
      <c r="F45" s="31" t="s">
        <v>137</v>
      </c>
    </row>
    <row r="46" spans="1:6" ht="13.5" customHeight="1" x14ac:dyDescent="0.25">
      <c r="A46" s="31">
        <v>2012</v>
      </c>
      <c r="B46" s="32">
        <v>0.16359899999999999</v>
      </c>
      <c r="C46" s="31"/>
      <c r="D46" s="31"/>
      <c r="E46" s="31"/>
      <c r="F46" s="31" t="s">
        <v>137</v>
      </c>
    </row>
    <row r="47" spans="1:6" ht="13.5" customHeight="1" x14ac:dyDescent="0.25">
      <c r="A47" s="31">
        <v>2013</v>
      </c>
      <c r="B47" s="32">
        <v>-3.1979E-2</v>
      </c>
      <c r="C47" s="31"/>
      <c r="D47" s="31"/>
      <c r="E47" s="31"/>
      <c r="F47" s="31" t="s">
        <v>137</v>
      </c>
    </row>
    <row r="48" spans="1:6" ht="13.5" customHeight="1" x14ac:dyDescent="0.25">
      <c r="A48" s="31">
        <v>2014</v>
      </c>
      <c r="B48" s="32">
        <v>-0.13275500000000001</v>
      </c>
      <c r="C48" s="31"/>
      <c r="D48" s="31"/>
      <c r="E48" s="31"/>
      <c r="F48" s="31" t="s">
        <v>137</v>
      </c>
    </row>
    <row r="49" spans="1:6" ht="13.5" customHeight="1" x14ac:dyDescent="0.25">
      <c r="A49" s="31">
        <v>2015</v>
      </c>
      <c r="B49" s="32">
        <v>-0.246582</v>
      </c>
      <c r="C49" s="31"/>
      <c r="D49" s="31"/>
      <c r="E49" s="31"/>
      <c r="F49" s="31" t="s">
        <v>137</v>
      </c>
    </row>
    <row r="50" spans="1:6" ht="13.5" customHeight="1" x14ac:dyDescent="0.25">
      <c r="A50" s="31">
        <v>2016</v>
      </c>
      <c r="B50" s="32">
        <v>-0.40215299999999998</v>
      </c>
      <c r="C50" s="31"/>
      <c r="D50" s="31"/>
      <c r="E50" s="31"/>
      <c r="F50" s="31" t="s">
        <v>137</v>
      </c>
    </row>
    <row r="51" spans="1:6" ht="13.5" customHeight="1" x14ac:dyDescent="0.25">
      <c r="A51" s="31">
        <v>2017</v>
      </c>
      <c r="B51" s="32">
        <v>-0.56822899999999998</v>
      </c>
      <c r="C51" s="31"/>
      <c r="D51" s="31"/>
      <c r="E51" s="31"/>
      <c r="F51" s="31" t="s">
        <v>137</v>
      </c>
    </row>
    <row r="52" spans="1:6" ht="13.5" customHeight="1" x14ac:dyDescent="0.25">
      <c r="A52" s="31">
        <v>2018</v>
      </c>
      <c r="B52" s="32">
        <v>-0.72806999999999999</v>
      </c>
      <c r="C52" s="31"/>
      <c r="D52" s="31"/>
      <c r="E52" s="31"/>
      <c r="F52" s="31" t="s">
        <v>137</v>
      </c>
    </row>
    <row r="53" spans="1:6" ht="13.5" customHeight="1" x14ac:dyDescent="0.25">
      <c r="A53" s="31">
        <v>2019</v>
      </c>
      <c r="B53" s="32">
        <v>-0.91881199999999996</v>
      </c>
      <c r="C53" s="31"/>
      <c r="D53" s="31"/>
      <c r="E53" s="31"/>
      <c r="F53" s="31" t="s">
        <v>137</v>
      </c>
    </row>
    <row r="54" spans="1:6" ht="13.5" customHeight="1" x14ac:dyDescent="0.25">
      <c r="A54" s="31">
        <v>2020</v>
      </c>
      <c r="B54" s="32">
        <v>0.44356899999999999</v>
      </c>
      <c r="C54" s="31"/>
      <c r="D54" s="31"/>
      <c r="E54" s="31"/>
      <c r="F54" s="31" t="s">
        <v>137</v>
      </c>
    </row>
    <row r="55" spans="1:6" ht="13.5" customHeight="1" x14ac:dyDescent="0.25">
      <c r="A55" s="31">
        <v>2021</v>
      </c>
      <c r="B55" s="32">
        <v>7.6169999999999996E-3</v>
      </c>
      <c r="C55" s="31"/>
      <c r="D55" s="31"/>
      <c r="E55" s="31"/>
      <c r="F55" s="31" t="s">
        <v>137</v>
      </c>
    </row>
    <row r="56" spans="1:6" ht="13.5" customHeight="1" x14ac:dyDescent="0.25">
      <c r="A56" s="31">
        <v>2022</v>
      </c>
      <c r="B56" s="32">
        <v>-0.427199</v>
      </c>
      <c r="C56" s="31"/>
      <c r="D56" s="31"/>
      <c r="E56" s="31"/>
      <c r="F56" s="31" t="s">
        <v>137</v>
      </c>
    </row>
    <row r="57" spans="1:6" ht="13.5" customHeight="1" x14ac:dyDescent="0.25">
      <c r="A57" s="31">
        <v>2023</v>
      </c>
      <c r="B57" s="32">
        <v>-0.71319699999999997</v>
      </c>
      <c r="C57" s="31"/>
      <c r="D57" s="31"/>
      <c r="E57" s="31"/>
      <c r="F57" s="31" t="s">
        <v>137</v>
      </c>
    </row>
    <row r="58" spans="1:6" ht="13.5" customHeight="1" x14ac:dyDescent="0.25">
      <c r="A58" s="31">
        <v>2024</v>
      </c>
      <c r="B58" s="32">
        <v>-0.89517199999999997</v>
      </c>
      <c r="C58" s="31"/>
      <c r="D58" s="31"/>
      <c r="E58" s="31"/>
      <c r="F58" s="31" t="s">
        <v>137</v>
      </c>
    </row>
    <row r="59" spans="1:6" ht="13.5" customHeight="1" x14ac:dyDescent="0.25">
      <c r="A59" s="33">
        <v>2025</v>
      </c>
      <c r="B59" s="33"/>
      <c r="C59" s="34">
        <v>-1.027666</v>
      </c>
      <c r="D59" s="34">
        <v>-1.781118</v>
      </c>
      <c r="E59" s="34">
        <v>-0.27421400000000001</v>
      </c>
      <c r="F59" s="33" t="s">
        <v>138</v>
      </c>
    </row>
    <row r="60" spans="1:6" ht="13.5" customHeight="1" x14ac:dyDescent="0.25">
      <c r="A60" s="33">
        <v>2026</v>
      </c>
      <c r="B60" s="33"/>
      <c r="C60" s="34">
        <v>-1.1601589999999999</v>
      </c>
      <c r="D60" s="34">
        <v>-2.2257009999999999</v>
      </c>
      <c r="E60" s="34">
        <v>-9.4617999999999994E-2</v>
      </c>
      <c r="F60" s="33" t="s">
        <v>138</v>
      </c>
    </row>
    <row r="61" spans="1:6" ht="13.5" customHeight="1" x14ac:dyDescent="0.25">
      <c r="A61" s="33">
        <v>2027</v>
      </c>
      <c r="B61" s="33"/>
      <c r="C61" s="34">
        <v>-1.2926530000000001</v>
      </c>
      <c r="D61" s="34">
        <v>-2.5976699999999999</v>
      </c>
      <c r="E61" s="34">
        <v>1.2364E-2</v>
      </c>
      <c r="F61" s="33" t="s">
        <v>138</v>
      </c>
    </row>
    <row r="62" spans="1:6" ht="13.5" customHeight="1" x14ac:dyDescent="0.25">
      <c r="A62" s="33">
        <v>2028</v>
      </c>
      <c r="B62" s="33"/>
      <c r="C62" s="34">
        <v>-1.4251469999999999</v>
      </c>
      <c r="D62" s="34">
        <v>-2.9320499999999998</v>
      </c>
      <c r="E62" s="34">
        <v>8.1756999999999996E-2</v>
      </c>
      <c r="F62" s="33" t="s">
        <v>138</v>
      </c>
    </row>
    <row r="63" spans="1:6" ht="13.5" customHeight="1" x14ac:dyDescent="0.25">
      <c r="A63" s="33">
        <v>2029</v>
      </c>
      <c r="B63" s="33"/>
      <c r="C63" s="34">
        <v>-1.5576399999999999</v>
      </c>
      <c r="D63" s="34">
        <v>-3.24241</v>
      </c>
      <c r="E63" s="34">
        <v>0.12712999999999999</v>
      </c>
      <c r="F63" s="33" t="s">
        <v>138</v>
      </c>
    </row>
    <row r="64" spans="1:6" ht="13.5" customHeight="1" x14ac:dyDescent="0.25">
      <c r="A64" s="33">
        <v>2030</v>
      </c>
      <c r="B64" s="33"/>
      <c r="C64" s="34">
        <v>-1.690134</v>
      </c>
      <c r="D64" s="34">
        <v>-3.5357059999999998</v>
      </c>
      <c r="E64" s="34">
        <v>0.15543899999999999</v>
      </c>
      <c r="F64" s="33" t="s">
        <v>138</v>
      </c>
    </row>
    <row r="65" spans="1:6" ht="13.5" customHeight="1" x14ac:dyDescent="0.25">
      <c r="A65" s="33">
        <v>2031</v>
      </c>
      <c r="B65" s="33"/>
      <c r="C65" s="34">
        <v>-1.822627</v>
      </c>
      <c r="D65" s="34">
        <v>-3.816074</v>
      </c>
      <c r="E65" s="34">
        <v>0.170819</v>
      </c>
      <c r="F65" s="33" t="s">
        <v>138</v>
      </c>
    </row>
    <row r="66" spans="1:6" ht="13.5" customHeight="1" x14ac:dyDescent="0.25">
      <c r="A66" s="33">
        <v>2032</v>
      </c>
      <c r="B66" s="33"/>
      <c r="C66" s="34">
        <v>-1.9551210000000001</v>
      </c>
      <c r="D66" s="34">
        <v>-4.0862049999999996</v>
      </c>
      <c r="E66" s="34">
        <v>0.17596300000000001</v>
      </c>
      <c r="F66" s="33" t="s">
        <v>138</v>
      </c>
    </row>
    <row r="67" spans="1:6" ht="13.5" customHeight="1" x14ac:dyDescent="0.25">
      <c r="A67" s="33">
        <v>2033</v>
      </c>
      <c r="B67" s="33"/>
      <c r="C67" s="34">
        <v>-2.0876139999999999</v>
      </c>
      <c r="D67" s="34">
        <v>-4.3479700000000001</v>
      </c>
      <c r="E67" s="34">
        <v>0.17274100000000001</v>
      </c>
      <c r="F67" s="33" t="s">
        <v>138</v>
      </c>
    </row>
    <row r="68" spans="1:6" ht="13.5" customHeight="1" x14ac:dyDescent="0.25">
      <c r="A68" s="33">
        <v>2034</v>
      </c>
      <c r="B68" s="33"/>
      <c r="C68" s="34">
        <v>-2.2201080000000002</v>
      </c>
      <c r="D68" s="34">
        <v>-4.6027319999999996</v>
      </c>
      <c r="E68" s="34">
        <v>0.16251599999999999</v>
      </c>
      <c r="F68" s="33" t="s">
        <v>138</v>
      </c>
    </row>
    <row r="69" spans="1:6" ht="13.5" customHeight="1" x14ac:dyDescent="0.25">
      <c r="A69" s="33">
        <v>2035</v>
      </c>
      <c r="B69" s="33"/>
      <c r="C69" s="34">
        <v>-2.3526020000000001</v>
      </c>
      <c r="D69" s="34">
        <v>-4.8515189999999997</v>
      </c>
      <c r="E69" s="34">
        <v>0.146316</v>
      </c>
      <c r="F69" s="33" t="s">
        <v>138</v>
      </c>
    </row>
    <row r="70" spans="1:6" ht="13.5" customHeight="1" x14ac:dyDescent="0.25">
      <c r="A70" s="33">
        <v>2036</v>
      </c>
      <c r="B70" s="33"/>
      <c r="C70" s="34">
        <v>-2.4850949999999998</v>
      </c>
      <c r="D70" s="34">
        <v>-5.095129</v>
      </c>
      <c r="E70" s="34">
        <v>0.12493899999999999</v>
      </c>
      <c r="F70" s="33" t="s">
        <v>138</v>
      </c>
    </row>
    <row r="71" spans="1:6" ht="13.5" customHeight="1" x14ac:dyDescent="0.25">
      <c r="A71" s="33">
        <v>2037</v>
      </c>
      <c r="B71" s="33"/>
      <c r="C71" s="34">
        <v>-2.6175890000000002</v>
      </c>
      <c r="D71" s="34">
        <v>-5.3341979999999998</v>
      </c>
      <c r="E71" s="34">
        <v>9.9020999999999998E-2</v>
      </c>
      <c r="F71" s="33" t="s">
        <v>138</v>
      </c>
    </row>
    <row r="72" spans="1:6" ht="13.5" customHeight="1" x14ac:dyDescent="0.25">
      <c r="A72" s="33">
        <v>2038</v>
      </c>
      <c r="B72" s="33"/>
      <c r="C72" s="34">
        <v>-2.7500819999999999</v>
      </c>
      <c r="D72" s="34">
        <v>-5.5692409999999999</v>
      </c>
      <c r="E72" s="34">
        <v>6.9077E-2</v>
      </c>
      <c r="F72" s="33" t="s">
        <v>138</v>
      </c>
    </row>
    <row r="73" spans="1:6" ht="13.5" customHeight="1" x14ac:dyDescent="0.25">
      <c r="A73" s="33">
        <v>2039</v>
      </c>
      <c r="B73" s="33"/>
      <c r="C73" s="34">
        <v>-2.8825759999999998</v>
      </c>
      <c r="D73" s="34">
        <v>-5.8006830000000003</v>
      </c>
      <c r="E73" s="34">
        <v>3.5531E-2</v>
      </c>
      <c r="F73" s="33" t="s">
        <v>138</v>
      </c>
    </row>
    <row r="74" spans="1:6" ht="13.5" customHeight="1" x14ac:dyDescent="0.25">
      <c r="A74" s="33">
        <v>2040</v>
      </c>
      <c r="B74" s="33"/>
      <c r="C74" s="34">
        <v>-3.0150700000000001</v>
      </c>
      <c r="D74" s="34">
        <v>-6.0288769999999996</v>
      </c>
      <c r="E74" s="34">
        <v>-1.2620000000000001E-3</v>
      </c>
      <c r="F74" s="33" t="s">
        <v>138</v>
      </c>
    </row>
    <row r="75" spans="1:6" ht="13.5" customHeight="1" x14ac:dyDescent="0.25">
      <c r="A75" s="33">
        <v>2041</v>
      </c>
      <c r="B75" s="33"/>
      <c r="C75" s="34">
        <v>-3.1475629999999999</v>
      </c>
      <c r="D75" s="34">
        <v>-6.2541250000000002</v>
      </c>
      <c r="E75" s="34">
        <v>-4.1001000000000003E-2</v>
      </c>
      <c r="F75" s="33" t="s">
        <v>138</v>
      </c>
    </row>
    <row r="76" spans="1:6" ht="13.5" customHeight="1" x14ac:dyDescent="0.25">
      <c r="A76" s="33">
        <v>2042</v>
      </c>
      <c r="B76" s="33"/>
      <c r="C76" s="34">
        <v>-3.2800569999999998</v>
      </c>
      <c r="D76" s="34">
        <v>-6.4766820000000003</v>
      </c>
      <c r="E76" s="34">
        <v>-8.3431000000000005E-2</v>
      </c>
      <c r="F76" s="33" t="s">
        <v>138</v>
      </c>
    </row>
  </sheetData>
  <mergeCells count="9">
    <mergeCell ref="A39:F39"/>
    <mergeCell ref="C9:F9"/>
    <mergeCell ref="C8:F8"/>
    <mergeCell ref="A1:F2"/>
    <mergeCell ref="C6:F6"/>
    <mergeCell ref="C7:F7"/>
    <mergeCell ref="A12:F12"/>
    <mergeCell ref="A4:F4"/>
    <mergeCell ref="C5:F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F8C8D"/>
  </sheetPr>
  <dimension ref="A1:C26"/>
  <sheetViews>
    <sheetView showGridLines="0" topLeftCell="A10" workbookViewId="0">
      <selection sqref="A1:C2"/>
    </sheetView>
  </sheetViews>
  <sheetFormatPr baseColWidth="10" defaultColWidth="8.7109375" defaultRowHeight="15" x14ac:dyDescent="0.25"/>
  <cols>
    <col min="1" max="3" width="45" customWidth="1"/>
  </cols>
  <sheetData>
    <row r="1" spans="1:3" ht="30" customHeight="1" x14ac:dyDescent="0.25">
      <c r="A1" s="64" t="s">
        <v>139</v>
      </c>
      <c r="B1" s="44"/>
      <c r="C1" s="44"/>
    </row>
    <row r="2" spans="1:3" x14ac:dyDescent="0.25">
      <c r="A2" s="44"/>
      <c r="B2" s="44"/>
      <c r="C2" s="44"/>
    </row>
    <row r="4" spans="1:3" ht="21.75" customHeight="1" x14ac:dyDescent="0.25">
      <c r="A4" s="63" t="s">
        <v>140</v>
      </c>
      <c r="B4" s="57"/>
      <c r="C4" s="57"/>
    </row>
    <row r="5" spans="1:3" ht="36" customHeight="1" x14ac:dyDescent="0.25">
      <c r="A5" s="61" t="s">
        <v>141</v>
      </c>
      <c r="B5" s="57"/>
      <c r="C5" s="57"/>
    </row>
    <row r="7" spans="1:3" ht="21.75" customHeight="1" x14ac:dyDescent="0.25">
      <c r="A7" s="63" t="s">
        <v>142</v>
      </c>
      <c r="B7" s="57"/>
      <c r="C7" s="57"/>
    </row>
    <row r="8" spans="1:3" ht="48.75" customHeight="1" x14ac:dyDescent="0.25">
      <c r="A8" s="62" t="s">
        <v>143</v>
      </c>
      <c r="B8" s="57"/>
      <c r="C8" s="57"/>
    </row>
    <row r="10" spans="1:3" ht="21.75" customHeight="1" x14ac:dyDescent="0.25">
      <c r="A10" s="63" t="s">
        <v>144</v>
      </c>
      <c r="B10" s="57"/>
      <c r="C10" s="57"/>
    </row>
    <row r="11" spans="1:3" ht="129.75" customHeight="1" x14ac:dyDescent="0.25">
      <c r="A11" s="61" t="s">
        <v>145</v>
      </c>
      <c r="B11" s="57"/>
      <c r="C11" s="57"/>
    </row>
    <row r="13" spans="1:3" ht="21.75" customHeight="1" x14ac:dyDescent="0.25">
      <c r="A13" s="63" t="s">
        <v>146</v>
      </c>
      <c r="B13" s="57"/>
      <c r="C13" s="57"/>
    </row>
    <row r="14" spans="1:3" ht="114" customHeight="1" x14ac:dyDescent="0.25">
      <c r="A14" s="62" t="s">
        <v>147</v>
      </c>
      <c r="B14" s="57"/>
      <c r="C14" s="57"/>
    </row>
    <row r="16" spans="1:3" ht="21.75" customHeight="1" x14ac:dyDescent="0.25">
      <c r="A16" s="63" t="s">
        <v>148</v>
      </c>
      <c r="B16" s="57"/>
      <c r="C16" s="57"/>
    </row>
    <row r="17" spans="1:3" ht="87.75" customHeight="1" x14ac:dyDescent="0.25">
      <c r="A17" s="61" t="s">
        <v>149</v>
      </c>
      <c r="B17" s="57"/>
      <c r="C17" s="57"/>
    </row>
    <row r="19" spans="1:3" ht="21.75" customHeight="1" x14ac:dyDescent="0.25">
      <c r="A19" s="63" t="s">
        <v>150</v>
      </c>
      <c r="B19" s="57"/>
      <c r="C19" s="57"/>
    </row>
    <row r="20" spans="1:3" ht="36" customHeight="1" x14ac:dyDescent="0.25">
      <c r="A20" s="62" t="s">
        <v>151</v>
      </c>
      <c r="B20" s="57"/>
      <c r="C20" s="57"/>
    </row>
    <row r="22" spans="1:3" ht="21.75" customHeight="1" x14ac:dyDescent="0.25">
      <c r="A22" s="63" t="s">
        <v>152</v>
      </c>
      <c r="B22" s="57"/>
      <c r="C22" s="57"/>
    </row>
    <row r="23" spans="1:3" ht="129.75" customHeight="1" x14ac:dyDescent="0.25">
      <c r="A23" s="61" t="s">
        <v>153</v>
      </c>
      <c r="B23" s="57"/>
      <c r="C23" s="57"/>
    </row>
    <row r="25" spans="1:3" ht="21.75" customHeight="1" x14ac:dyDescent="0.25">
      <c r="A25" s="63" t="s">
        <v>154</v>
      </c>
      <c r="B25" s="57"/>
      <c r="C25" s="57"/>
    </row>
    <row r="26" spans="1:3" ht="75" customHeight="1" x14ac:dyDescent="0.25">
      <c r="A26" s="62" t="s">
        <v>155</v>
      </c>
      <c r="B26" s="57"/>
      <c r="C26" s="57"/>
    </row>
  </sheetData>
  <mergeCells count="17">
    <mergeCell ref="A1:C2"/>
    <mergeCell ref="A8:C8"/>
    <mergeCell ref="A14:C14"/>
    <mergeCell ref="A22:C22"/>
    <mergeCell ref="A17:C17"/>
    <mergeCell ref="A10:C10"/>
    <mergeCell ref="A4:C4"/>
    <mergeCell ref="A13:C13"/>
    <mergeCell ref="A11:C11"/>
    <mergeCell ref="A19:C19"/>
    <mergeCell ref="A5:C5"/>
    <mergeCell ref="A23:C23"/>
    <mergeCell ref="A26:C26"/>
    <mergeCell ref="A7:C7"/>
    <mergeCell ref="A20:C20"/>
    <mergeCell ref="A16:C16"/>
    <mergeCell ref="A25:C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Tasas_Informalidad_2007-2042</vt:lpstr>
      <vt:lpstr>Portada</vt:lpstr>
      <vt:lpstr>Tasas_Informalidad_Proy</vt:lpstr>
      <vt:lpstr>IC_95pct</vt:lpstr>
      <vt:lpstr>Ocupados_Proy</vt:lpstr>
      <vt:lpstr>Resumen_por_Año</vt:lpstr>
      <vt:lpstr>Historico_GEIH_2007-2026</vt:lpstr>
      <vt:lpstr>Params_Lee-Carter</vt:lpstr>
      <vt:lpstr>Nota_Metodologica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2026-06-11T04:03:01Z</dcterms:created>
  <dcterms:modified xsi:type="dcterms:W3CDTF">2026-06-15T15:13:58Z</dcterms:modified>
</cp:coreProperties>
</file>
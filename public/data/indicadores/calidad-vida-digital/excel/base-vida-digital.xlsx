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krist\Downloads\"/>
    </mc:Choice>
  </mc:AlternateContent>
  <xr:revisionPtr revIDLastSave="0" documentId="13_ncr:1_{6E3BC50A-819D-4B72-8813-24905B0E6D7E}" xr6:coauthVersionLast="47" xr6:coauthVersionMax="47" xr10:uidLastSave="{00000000-0000-0000-0000-000000000000}"/>
  <bookViews>
    <workbookView xWindow="-120" yWindow="-120" windowWidth="20730" windowHeight="11040" xr2:uid="{00000000-000D-0000-FFFF-FFFF00000000}"/>
  </bookViews>
  <sheets>
    <sheet name="Panel_DQL_2030" sheetId="1" r:id="rId1"/>
  </sheets>
  <definedNames>
    <definedName name="_xlnm.Print_Titles" localSheetId="0">Panel_DQL_2030!$1:$14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Prometricas SAS</author>
  </authors>
  <commentList>
    <comment ref="G14" authorId="0" shapeId="0" xr:uid="{00000000-0006-0000-0000-000001000000}">
      <text>
        <r>
          <rPr>
            <sz val="11"/>
            <color theme="1"/>
            <rFont val="Calibri"/>
            <family val="2"/>
            <scheme val="minor"/>
          </rPr>
          <t>Estimación propia mediante panel dinámico robusto AR(1), ruptura metodológica 2025 y bootstrap por país.</t>
        </r>
      </text>
    </comment>
    <comment ref="H14" authorId="0" shapeId="0" xr:uid="{00000000-0006-0000-0000-000002000000}">
      <text>
        <r>
          <rPr>
            <sz val="11"/>
            <color theme="1"/>
            <rFont val="Calibri"/>
            <family val="2"/>
            <scheme val="minor"/>
          </rPr>
          <t>Estimación propia mediante panel dinámico robusto AR(1), ruptura metodológica 2025 y bootstrap por país.</t>
        </r>
      </text>
    </comment>
    <comment ref="I14" authorId="0" shapeId="0" xr:uid="{00000000-0006-0000-0000-000003000000}">
      <text>
        <r>
          <rPr>
            <sz val="11"/>
            <color theme="1"/>
            <rFont val="Calibri"/>
            <family val="2"/>
            <scheme val="minor"/>
          </rPr>
          <t>Estimación propia mediante panel dinámico robusto AR(1), ruptura metodológica 2025 y bootstrap por país.</t>
        </r>
      </text>
    </comment>
    <comment ref="J14" authorId="0" shapeId="0" xr:uid="{00000000-0006-0000-0000-000004000000}">
      <text>
        <r>
          <rPr>
            <sz val="11"/>
            <color theme="1"/>
            <rFont val="Calibri"/>
            <family val="2"/>
            <scheme val="minor"/>
          </rPr>
          <t>Estimación propia mediante panel dinámico robusto AR(1), ruptura metodológica 2025 y bootstrap por país.</t>
        </r>
      </text>
    </comment>
    <comment ref="K14" authorId="0" shapeId="0" xr:uid="{00000000-0006-0000-0000-000005000000}">
      <text>
        <r>
          <rPr>
            <sz val="11"/>
            <color theme="1"/>
            <rFont val="Calibri"/>
            <family val="2"/>
            <scheme val="minor"/>
          </rPr>
          <t>Estimación propia mediante panel dinámico robusto AR(1), ruptura metodológica 2025 y bootstrap por país.</t>
        </r>
      </text>
    </comment>
    <comment ref="G15" authorId="1" shapeId="0" xr:uid="{00000000-0006-0000-0000-000006000000}">
      <text>
        <r>
          <rPr>
            <sz val="11"/>
            <color theme="1"/>
            <rFont val="Calibri"/>
            <family val="2"/>
            <scheme val="minor"/>
          </rPr>
          <t>IC 95% (2026): [0.7007 , 0.9163]
Modelo: Damped Holt (ETS A,Ad,N)
alpha=0.50, beta=0.30, phi=0.85</t>
        </r>
      </text>
    </comment>
    <comment ref="H15" authorId="1" shapeId="0" xr:uid="{00000000-0006-0000-0000-000007000000}">
      <text>
        <r>
          <rPr>
            <sz val="11"/>
            <color theme="1"/>
            <rFont val="Calibri"/>
            <family val="2"/>
            <scheme val="minor"/>
          </rPr>
          <t>IC 95% (2027): [0.6864 , 0.9553]
Modelo: Damped Holt (ETS A,Ad,N)
alpha=0.50, beta=0.30, phi=0.85</t>
        </r>
      </text>
    </comment>
    <comment ref="I15" authorId="1" shapeId="0" xr:uid="{00000000-0006-0000-0000-000008000000}">
      <text>
        <r>
          <rPr>
            <sz val="11"/>
            <color theme="1"/>
            <rFont val="Calibri"/>
            <family val="2"/>
            <scheme val="minor"/>
          </rPr>
          <t>IC 95% (2028): [0.6565 , 0.9942]
Modelo: Damped Holt (ETS A,Ad,N)
alpha=0.50, beta=0.30, phi=0.85</t>
        </r>
      </text>
    </comment>
    <comment ref="J15" authorId="1" shapeId="0" xr:uid="{00000000-0006-0000-0000-000009000000}">
      <text>
        <r>
          <rPr>
            <sz val="11"/>
            <color theme="1"/>
            <rFont val="Calibri"/>
            <family val="2"/>
            <scheme val="minor"/>
          </rPr>
          <t>IC 95% (2029): [0.6245 , 1.0431]
Modelo: Damped Holt (ETS A,Ad,N)
alpha=0.50, beta=0.30, phi=0.85</t>
        </r>
      </text>
    </comment>
    <comment ref="K15" authorId="1" shapeId="0" xr:uid="{00000000-0006-0000-0000-00000A000000}">
      <text>
        <r>
          <rPr>
            <sz val="11"/>
            <color theme="1"/>
            <rFont val="Calibri"/>
            <family val="2"/>
            <scheme val="minor"/>
          </rPr>
          <t>IC 95% (2030): [0.5936 , 1.0901]
Modelo: Damped Holt (ETS A,Ad,N)
alpha=0.50, beta=0.30, phi=0.85</t>
        </r>
      </text>
    </comment>
    <comment ref="G16" authorId="1" shapeId="0" xr:uid="{00000000-0006-0000-0000-00000B000000}">
      <text>
        <r>
          <rPr>
            <sz val="11"/>
            <color theme="1"/>
            <rFont val="Calibri"/>
            <family val="2"/>
            <scheme val="minor"/>
          </rPr>
          <t>IC 95% (2026): [0.7355 , 0.8457]
Modelo: Damped Holt (ETS A,Ad,N)
alpha=0.10, beta=0.01, phi=0.85</t>
        </r>
      </text>
    </comment>
    <comment ref="H16" authorId="1" shapeId="0" xr:uid="{00000000-0006-0000-0000-00000C000000}">
      <text>
        <r>
          <rPr>
            <sz val="11"/>
            <color theme="1"/>
            <rFont val="Calibri"/>
            <family val="2"/>
            <scheme val="minor"/>
          </rPr>
          <t>IC 95% (2027): [0.7449 , 0.8555]
Modelo: Damped Holt (ETS A,Ad,N)
alpha=0.10, beta=0.01, phi=0.85</t>
        </r>
      </text>
    </comment>
    <comment ref="I16" authorId="1" shapeId="0" xr:uid="{00000000-0006-0000-0000-00000D000000}">
      <text>
        <r>
          <rPr>
            <sz val="11"/>
            <color theme="1"/>
            <rFont val="Calibri"/>
            <family val="2"/>
            <scheme val="minor"/>
          </rPr>
          <t>IC 95% (2028): [0.7553 , 0.8648]
Modelo: Damped Holt (ETS A,Ad,N)
alpha=0.10, beta=0.01, phi=0.85</t>
        </r>
      </text>
    </comment>
    <comment ref="J16" authorId="1" shapeId="0" xr:uid="{00000000-0006-0000-0000-00000E000000}">
      <text>
        <r>
          <rPr>
            <sz val="11"/>
            <color theme="1"/>
            <rFont val="Calibri"/>
            <family val="2"/>
            <scheme val="minor"/>
          </rPr>
          <t>IC 95% (2029): [0.7609 , 0.8735]
Modelo: Damped Holt (ETS A,Ad,N)
alpha=0.10, beta=0.01, phi=0.85</t>
        </r>
      </text>
    </comment>
    <comment ref="K16" authorId="1" shapeId="0" xr:uid="{00000000-0006-0000-0000-00000F000000}">
      <text>
        <r>
          <rPr>
            <sz val="11"/>
            <color theme="1"/>
            <rFont val="Calibri"/>
            <family val="2"/>
            <scheme val="minor"/>
          </rPr>
          <t>IC 95% (2030): [0.7672 , 0.8807]
Modelo: Damped Holt (ETS A,Ad,N)
alpha=0.10, beta=0.01, phi=0.85</t>
        </r>
      </text>
    </comment>
    <comment ref="G17" authorId="1" shapeId="0" xr:uid="{00000000-0006-0000-0000-000010000000}">
      <text>
        <r>
          <rPr>
            <sz val="11"/>
            <color theme="1"/>
            <rFont val="Calibri"/>
            <family val="2"/>
            <scheme val="minor"/>
          </rPr>
          <t>IC 95% (2026): [0.7067 , 0.7841]
Modelo: Damped Holt (ETS A,Ad,N)
alpha=0.50, beta=0.30, phi=0.85</t>
        </r>
      </text>
    </comment>
    <comment ref="H17" authorId="1" shapeId="0" xr:uid="{00000000-0006-0000-0000-000011000000}">
      <text>
        <r>
          <rPr>
            <sz val="11"/>
            <color theme="1"/>
            <rFont val="Calibri"/>
            <family val="2"/>
            <scheme val="minor"/>
          </rPr>
          <t>IC 95% (2027): [0.6941 , 0.7887]
Modelo: Damped Holt (ETS A,Ad,N)
alpha=0.50, beta=0.30, phi=0.85</t>
        </r>
      </text>
    </comment>
    <comment ref="I17" authorId="1" shapeId="0" xr:uid="{00000000-0006-0000-0000-000012000000}">
      <text>
        <r>
          <rPr>
            <sz val="11"/>
            <color theme="1"/>
            <rFont val="Calibri"/>
            <family val="2"/>
            <scheme val="minor"/>
          </rPr>
          <t>IC 95% (2028): [0.6780 , 0.7987]
Modelo: Damped Holt (ETS A,Ad,N)
alpha=0.50, beta=0.30, phi=0.85</t>
        </r>
      </text>
    </comment>
    <comment ref="J17" authorId="1" shapeId="0" xr:uid="{00000000-0006-0000-0000-000013000000}">
      <text>
        <r>
          <rPr>
            <sz val="11"/>
            <color theme="1"/>
            <rFont val="Calibri"/>
            <family val="2"/>
            <scheme val="minor"/>
          </rPr>
          <t>IC 95% (2029): [0.6615 , 0.8109]
Modelo: Damped Holt (ETS A,Ad,N)
alpha=0.50, beta=0.30, phi=0.85</t>
        </r>
      </text>
    </comment>
    <comment ref="K17" authorId="1" shapeId="0" xr:uid="{00000000-0006-0000-0000-000014000000}">
      <text>
        <r>
          <rPr>
            <sz val="11"/>
            <color theme="1"/>
            <rFont val="Calibri"/>
            <family val="2"/>
            <scheme val="minor"/>
          </rPr>
          <t>IC 95% (2030): [0.6443 , 0.8236]
Modelo: Damped Holt (ETS A,Ad,N)
alpha=0.50, beta=0.30, phi=0.85</t>
        </r>
      </text>
    </comment>
    <comment ref="G18" authorId="1" shapeId="0" xr:uid="{00000000-0006-0000-0000-000015000000}">
      <text>
        <r>
          <rPr>
            <sz val="11"/>
            <color theme="1"/>
            <rFont val="Calibri"/>
            <family val="2"/>
            <scheme val="minor"/>
          </rPr>
          <t>IC 95% (2026): [0.6436 , 0.8408]
Modelo: Damped Holt (ETS A,Ad,N)
alpha=0.50, beta=0.30, phi=0.85</t>
        </r>
      </text>
    </comment>
    <comment ref="H18" authorId="1" shapeId="0" xr:uid="{00000000-0006-0000-0000-000016000000}">
      <text>
        <r>
          <rPr>
            <sz val="11"/>
            <color theme="1"/>
            <rFont val="Calibri"/>
            <family val="2"/>
            <scheme val="minor"/>
          </rPr>
          <t>IC 95% (2027): [0.6287 , 0.8687]
Modelo: Damped Holt (ETS A,Ad,N)
alpha=0.50, beta=0.30, phi=0.85</t>
        </r>
      </text>
    </comment>
    <comment ref="I18" authorId="1" shapeId="0" xr:uid="{00000000-0006-0000-0000-000017000000}">
      <text>
        <r>
          <rPr>
            <sz val="11"/>
            <color theme="1"/>
            <rFont val="Calibri"/>
            <family val="2"/>
            <scheme val="minor"/>
          </rPr>
          <t>IC 95% (2028): [0.6013 , 0.9070]
Modelo: Damped Holt (ETS A,Ad,N)
alpha=0.50, beta=0.30, phi=0.85</t>
        </r>
      </text>
    </comment>
    <comment ref="J18" authorId="1" shapeId="0" xr:uid="{00000000-0006-0000-0000-000018000000}">
      <text>
        <r>
          <rPr>
            <sz val="11"/>
            <color theme="1"/>
            <rFont val="Calibri"/>
            <family val="2"/>
            <scheme val="minor"/>
          </rPr>
          <t>IC 95% (2029): [0.5669 , 0.9442]
Modelo: Damped Holt (ETS A,Ad,N)
alpha=0.50, beta=0.30, phi=0.85</t>
        </r>
      </text>
    </comment>
    <comment ref="K18" authorId="1" shapeId="0" xr:uid="{00000000-0006-0000-0000-000019000000}">
      <text>
        <r>
          <rPr>
            <sz val="11"/>
            <color theme="1"/>
            <rFont val="Calibri"/>
            <family val="2"/>
            <scheme val="minor"/>
          </rPr>
          <t>IC 95% (2030): [0.5311 , 0.9879]
Modelo: Damped Holt (ETS A,Ad,N)
alpha=0.50, beta=0.30, phi=0.85</t>
        </r>
      </text>
    </comment>
    <comment ref="G19" authorId="1" shapeId="0" xr:uid="{00000000-0006-0000-0000-00001A000000}">
      <text>
        <r>
          <rPr>
            <sz val="11"/>
            <color theme="1"/>
            <rFont val="Calibri"/>
            <family val="2"/>
            <scheme val="minor"/>
          </rPr>
          <t>IC 95% (2026): [0.5509 , 0.9866]
Modelo: Damped Holt (ETS A,Ad,N)
alpha=0.50, beta=0.30, phi=0.85</t>
        </r>
      </text>
    </comment>
    <comment ref="H19" authorId="1" shapeId="0" xr:uid="{00000000-0006-0000-0000-00001B000000}">
      <text>
        <r>
          <rPr>
            <sz val="11"/>
            <color theme="1"/>
            <rFont val="Calibri"/>
            <family val="2"/>
            <scheme val="minor"/>
          </rPr>
          <t>IC 95% (2027): [0.4897 , 1.0324]
Modelo: Damped Holt (ETS A,Ad,N)
alpha=0.50, beta=0.30, phi=0.85</t>
        </r>
      </text>
    </comment>
    <comment ref="I19" authorId="1" shapeId="0" xr:uid="{00000000-0006-0000-0000-00001C000000}">
      <text>
        <r>
          <rPr>
            <sz val="11"/>
            <color theme="1"/>
            <rFont val="Calibri"/>
            <family val="2"/>
            <scheme val="minor"/>
          </rPr>
          <t>IC 95% (2028): [0.4103 , 1.0972]
Modelo: Damped Holt (ETS A,Ad,N)
alpha=0.50, beta=0.30, phi=0.85</t>
        </r>
      </text>
    </comment>
    <comment ref="J19" authorId="1" shapeId="0" xr:uid="{00000000-0006-0000-0000-00001D000000}">
      <text>
        <r>
          <rPr>
            <sz val="11"/>
            <color theme="1"/>
            <rFont val="Calibri"/>
            <family val="2"/>
            <scheme val="minor"/>
          </rPr>
          <t>IC 95% (2029): [0.3153 , 1.1765]
Modelo: Damped Holt (ETS A,Ad,N)
alpha=0.50, beta=0.30, phi=0.85</t>
        </r>
      </text>
    </comment>
    <comment ref="K19" authorId="1" shapeId="0" xr:uid="{00000000-0006-0000-0000-00001E000000}">
      <text>
        <r>
          <rPr>
            <sz val="11"/>
            <color theme="1"/>
            <rFont val="Calibri"/>
            <family val="2"/>
            <scheme val="minor"/>
          </rPr>
          <t>IC 95% (2030): [0.2313 , 1.2539]
Modelo: Damped Holt (ETS A,Ad,N)
alpha=0.50, beta=0.30, phi=0.85</t>
        </r>
      </text>
    </comment>
    <comment ref="G20" authorId="1" shapeId="0" xr:uid="{00000000-0006-0000-0000-00001F000000}">
      <text>
        <r>
          <rPr>
            <sz val="11"/>
            <color theme="1"/>
            <rFont val="Calibri"/>
            <family val="2"/>
            <scheme val="minor"/>
          </rPr>
          <t>IC 95% (2026): [0.7086 , 0.7989]
Modelo: Damped Holt (ETS A,Ad,N)
alpha=0.10, beta=0.01, phi=0.85</t>
        </r>
      </text>
    </comment>
    <comment ref="H20" authorId="1" shapeId="0" xr:uid="{00000000-0006-0000-0000-000020000000}">
      <text>
        <r>
          <rPr>
            <sz val="11"/>
            <color theme="1"/>
            <rFont val="Calibri"/>
            <family val="2"/>
            <scheme val="minor"/>
          </rPr>
          <t>IC 95% (2027): [0.7179 , 0.8070]
Modelo: Damped Holt (ETS A,Ad,N)
alpha=0.10, beta=0.01, phi=0.85</t>
        </r>
      </text>
    </comment>
    <comment ref="I20" authorId="1" shapeId="0" xr:uid="{00000000-0006-0000-0000-000021000000}">
      <text>
        <r>
          <rPr>
            <sz val="11"/>
            <color theme="1"/>
            <rFont val="Calibri"/>
            <family val="2"/>
            <scheme val="minor"/>
          </rPr>
          <t>IC 95% (2028): [0.7252 , 0.8148]
Modelo: Damped Holt (ETS A,Ad,N)
alpha=0.10, beta=0.01, phi=0.85</t>
        </r>
      </text>
    </comment>
    <comment ref="J20" authorId="1" shapeId="0" xr:uid="{00000000-0006-0000-0000-000022000000}">
      <text>
        <r>
          <rPr>
            <sz val="11"/>
            <color theme="1"/>
            <rFont val="Calibri"/>
            <family val="2"/>
            <scheme val="minor"/>
          </rPr>
          <t>IC 95% (2029): [0.7301 , 0.8206]
Modelo: Damped Holt (ETS A,Ad,N)
alpha=0.10, beta=0.01, phi=0.85</t>
        </r>
      </text>
    </comment>
    <comment ref="K20" authorId="1" shapeId="0" xr:uid="{00000000-0006-0000-0000-000023000000}">
      <text>
        <r>
          <rPr>
            <sz val="11"/>
            <color theme="1"/>
            <rFont val="Calibri"/>
            <family val="2"/>
            <scheme val="minor"/>
          </rPr>
          <t>IC 95% (2030): [0.7352 , 0.8282]
Modelo: Damped Holt (ETS A,Ad,N)
alpha=0.10, beta=0.01, phi=0.85</t>
        </r>
      </text>
    </comment>
    <comment ref="G21" authorId="1" shapeId="0" xr:uid="{00000000-0006-0000-0000-000024000000}">
      <text>
        <r>
          <rPr>
            <sz val="11"/>
            <color theme="1"/>
            <rFont val="Calibri"/>
            <family val="2"/>
            <scheme val="minor"/>
          </rPr>
          <t>IC 95% (2026): [0.5820 , 0.9365]
Modelo: Damped Holt (ETS A,Ad,N)
alpha=0.50, beta=0.30, phi=0.85</t>
        </r>
      </text>
    </comment>
    <comment ref="H21" authorId="1" shapeId="0" xr:uid="{00000000-0006-0000-0000-000025000000}">
      <text>
        <r>
          <rPr>
            <sz val="11"/>
            <color theme="1"/>
            <rFont val="Calibri"/>
            <family val="2"/>
            <scheme val="minor"/>
          </rPr>
          <t>IC 95% (2027): [0.5525 , 0.9867]
Modelo: Damped Holt (ETS A,Ad,N)
alpha=0.50, beta=0.30, phi=0.85</t>
        </r>
      </text>
    </comment>
    <comment ref="I21" authorId="1" shapeId="0" xr:uid="{00000000-0006-0000-0000-000026000000}">
      <text>
        <r>
          <rPr>
            <sz val="11"/>
            <color theme="1"/>
            <rFont val="Calibri"/>
            <family val="2"/>
            <scheme val="minor"/>
          </rPr>
          <t>IC 95% (2028): [0.4969 , 1.0611]
Modelo: Damped Holt (ETS A,Ad,N)
alpha=0.50, beta=0.30, phi=0.85</t>
        </r>
      </text>
    </comment>
    <comment ref="J21" authorId="1" shapeId="0" xr:uid="{00000000-0006-0000-0000-000027000000}">
      <text>
        <r>
          <rPr>
            <sz val="11"/>
            <color theme="1"/>
            <rFont val="Calibri"/>
            <family val="2"/>
            <scheme val="minor"/>
          </rPr>
          <t>IC 95% (2029): [0.4390 , 1.1220]
Modelo: Damped Holt (ETS A,Ad,N)
alpha=0.50, beta=0.30, phi=0.85</t>
        </r>
      </text>
    </comment>
    <comment ref="K21" authorId="1" shapeId="0" xr:uid="{00000000-0006-0000-0000-000028000000}">
      <text>
        <r>
          <rPr>
            <sz val="11"/>
            <color theme="1"/>
            <rFont val="Calibri"/>
            <family val="2"/>
            <scheme val="minor"/>
          </rPr>
          <t>IC 95% (2030): [0.3740 , 1.2052]
Modelo: Damped Holt (ETS A,Ad,N)
alpha=0.50, beta=0.30, phi=0.85</t>
        </r>
      </text>
    </comment>
    <comment ref="G22" authorId="1" shapeId="0" xr:uid="{00000000-0006-0000-0000-000029000000}">
      <text>
        <r>
          <rPr>
            <sz val="11"/>
            <color theme="1"/>
            <rFont val="Calibri"/>
            <family val="2"/>
            <scheme val="minor"/>
          </rPr>
          <t>IC 95% (2026): [0.5290 , 0.9646]
Modelo: Damped Holt (ETS A,Ad,N)
alpha=0.50, beta=0.30, phi=0.85</t>
        </r>
      </text>
    </comment>
    <comment ref="H22" authorId="1" shapeId="0" xr:uid="{00000000-0006-0000-0000-00002A000000}">
      <text>
        <r>
          <rPr>
            <sz val="11"/>
            <color theme="1"/>
            <rFont val="Calibri"/>
            <family val="2"/>
            <scheme val="minor"/>
          </rPr>
          <t>IC 95% (2027): [0.4843 , 1.0201]
Modelo: Damped Holt (ETS A,Ad,N)
alpha=0.50, beta=0.30, phi=0.85</t>
        </r>
      </text>
    </comment>
    <comment ref="I22" authorId="1" shapeId="0" xr:uid="{00000000-0006-0000-0000-00002B000000}">
      <text>
        <r>
          <rPr>
            <sz val="11"/>
            <color theme="1"/>
            <rFont val="Calibri"/>
            <family val="2"/>
            <scheme val="minor"/>
          </rPr>
          <t>IC 95% (2028): [0.4177 , 1.0921]
Modelo: Damped Holt (ETS A,Ad,N)
alpha=0.50, beta=0.30, phi=0.85</t>
        </r>
      </text>
    </comment>
    <comment ref="J22" authorId="1" shapeId="0" xr:uid="{00000000-0006-0000-0000-00002C000000}">
      <text>
        <r>
          <rPr>
            <sz val="11"/>
            <color theme="1"/>
            <rFont val="Calibri"/>
            <family val="2"/>
            <scheme val="minor"/>
          </rPr>
          <t>IC 95% (2029): [0.3327 , 1.1750]
Modelo: Damped Holt (ETS A,Ad,N)
alpha=0.50, beta=0.30, phi=0.85</t>
        </r>
      </text>
    </comment>
    <comment ref="K22" authorId="1" shapeId="0" xr:uid="{00000000-0006-0000-0000-00002D000000}">
      <text>
        <r>
          <rPr>
            <sz val="11"/>
            <color theme="1"/>
            <rFont val="Calibri"/>
            <family val="2"/>
            <scheme val="minor"/>
          </rPr>
          <t>IC 95% (2030): [0.2413 , 1.2602]
Modelo: Damped Holt (ETS A,Ad,N)
alpha=0.50, beta=0.30, phi=0.85</t>
        </r>
      </text>
    </comment>
    <comment ref="G23" authorId="1" shapeId="0" xr:uid="{00000000-0006-0000-0000-00002E000000}">
      <text>
        <r>
          <rPr>
            <sz val="11"/>
            <color theme="1"/>
            <rFont val="Calibri"/>
            <family val="2"/>
            <scheme val="minor"/>
          </rPr>
          <t>IC 95% (2026): [0.6594 , 0.7046]
Modelo: Damped Holt (ETS A,Ad,N)
alpha=0.50, beta=0.30, phi=0.85</t>
        </r>
      </text>
    </comment>
    <comment ref="H23" authorId="1" shapeId="0" xr:uid="{00000000-0006-0000-0000-00002F000000}">
      <text>
        <r>
          <rPr>
            <sz val="11"/>
            <color theme="1"/>
            <rFont val="Calibri"/>
            <family val="2"/>
            <scheme val="minor"/>
          </rPr>
          <t>IC 95% (2027): [0.6515 , 0.7092]
Modelo: Damped Holt (ETS A,Ad,N)
alpha=0.50, beta=0.30, phi=0.85</t>
        </r>
      </text>
    </comment>
    <comment ref="I23" authorId="1" shapeId="0" xr:uid="{00000000-0006-0000-0000-000030000000}">
      <text>
        <r>
          <rPr>
            <sz val="11"/>
            <color theme="1"/>
            <rFont val="Calibri"/>
            <family val="2"/>
            <scheme val="minor"/>
          </rPr>
          <t>IC 95% (2028): [0.6435 , 0.7161]
Modelo: Damped Holt (ETS A,Ad,N)
alpha=0.50, beta=0.30, phi=0.85</t>
        </r>
      </text>
    </comment>
    <comment ref="J23" authorId="1" shapeId="0" xr:uid="{00000000-0006-0000-0000-000031000000}">
      <text>
        <r>
          <rPr>
            <sz val="11"/>
            <color theme="1"/>
            <rFont val="Calibri"/>
            <family val="2"/>
            <scheme val="minor"/>
          </rPr>
          <t>IC 95% (2029): [0.6339 , 0.7235]
Modelo: Damped Holt (ETS A,Ad,N)
alpha=0.50, beta=0.30, phi=0.85</t>
        </r>
      </text>
    </comment>
    <comment ref="K23" authorId="1" shapeId="0" xr:uid="{00000000-0006-0000-0000-000032000000}">
      <text>
        <r>
          <rPr>
            <sz val="11"/>
            <color theme="1"/>
            <rFont val="Calibri"/>
            <family val="2"/>
            <scheme val="minor"/>
          </rPr>
          <t>IC 95% (2030): [0.6247 , 0.7319]
Modelo: Damped Holt (ETS A,Ad,N)
alpha=0.50, beta=0.30, phi=0.85</t>
        </r>
      </text>
    </comment>
    <comment ref="G24" authorId="1" shapeId="0" xr:uid="{00000000-0006-0000-0000-000033000000}">
      <text>
        <r>
          <rPr>
            <sz val="11"/>
            <color theme="1"/>
            <rFont val="Calibri"/>
            <family val="2"/>
            <scheme val="minor"/>
          </rPr>
          <t>IC 95% (2026): [0.5857 , 0.8702]
Modelo: Damped Holt (ETS A,Ad,N)
alpha=0.50, beta=0.30, phi=0.85</t>
        </r>
      </text>
    </comment>
    <comment ref="H24" authorId="1" shapeId="0" xr:uid="{00000000-0006-0000-0000-000034000000}">
      <text>
        <r>
          <rPr>
            <sz val="11"/>
            <color theme="1"/>
            <rFont val="Calibri"/>
            <family val="2"/>
            <scheme val="minor"/>
          </rPr>
          <t>IC 95% (2027): [0.5477 , 0.9095]
Modelo: Damped Holt (ETS A,Ad,N)
alpha=0.50, beta=0.30, phi=0.85</t>
        </r>
      </text>
    </comment>
    <comment ref="I24" authorId="1" shapeId="0" xr:uid="{00000000-0006-0000-0000-000035000000}">
      <text>
        <r>
          <rPr>
            <sz val="11"/>
            <color theme="1"/>
            <rFont val="Calibri"/>
            <family val="2"/>
            <scheme val="minor"/>
          </rPr>
          <t>IC 95% (2028): [0.5042 , 0.9505]
Modelo: Damped Holt (ETS A,Ad,N)
alpha=0.50, beta=0.30, phi=0.85</t>
        </r>
      </text>
    </comment>
    <comment ref="J24" authorId="1" shapeId="0" xr:uid="{00000000-0006-0000-0000-000036000000}">
      <text>
        <r>
          <rPr>
            <sz val="11"/>
            <color theme="1"/>
            <rFont val="Calibri"/>
            <family val="2"/>
            <scheme val="minor"/>
          </rPr>
          <t>IC 95% (2029): [0.4511 , 1.0051]
Modelo: Damped Holt (ETS A,Ad,N)
alpha=0.50, beta=0.30, phi=0.85</t>
        </r>
      </text>
    </comment>
    <comment ref="K24" authorId="1" shapeId="0" xr:uid="{00000000-0006-0000-0000-000037000000}">
      <text>
        <r>
          <rPr>
            <sz val="11"/>
            <color theme="1"/>
            <rFont val="Calibri"/>
            <family val="2"/>
            <scheme val="minor"/>
          </rPr>
          <t>IC 95% (2030): [0.3992 , 1.0625]
Modelo: Damped Holt (ETS A,Ad,N)
alpha=0.50, beta=0.30, phi=0.85</t>
        </r>
      </text>
    </comment>
    <comment ref="G25" authorId="1" shapeId="0" xr:uid="{00000000-0006-0000-0000-000038000000}">
      <text>
        <r>
          <rPr>
            <sz val="11"/>
            <color theme="1"/>
            <rFont val="Calibri"/>
            <family val="2"/>
            <scheme val="minor"/>
          </rPr>
          <t>IC 95% (2026): [0.6185 , 0.7778]
Modelo: Damped Holt (ETS A,Ad,N)
alpha=0.50, beta=0.30, phi=0.85</t>
        </r>
      </text>
    </comment>
    <comment ref="H25" authorId="1" shapeId="0" xr:uid="{00000000-0006-0000-0000-000039000000}">
      <text>
        <r>
          <rPr>
            <sz val="11"/>
            <color theme="1"/>
            <rFont val="Calibri"/>
            <family val="2"/>
            <scheme val="minor"/>
          </rPr>
          <t>IC 95% (2027): [0.5892 , 0.7935]
Modelo: Damped Holt (ETS A,Ad,N)
alpha=0.50, beta=0.30, phi=0.85</t>
        </r>
      </text>
    </comment>
    <comment ref="I25" authorId="1" shapeId="0" xr:uid="{00000000-0006-0000-0000-00003A000000}">
      <text>
        <r>
          <rPr>
            <sz val="11"/>
            <color theme="1"/>
            <rFont val="Calibri"/>
            <family val="2"/>
            <scheme val="minor"/>
          </rPr>
          <t>IC 95% (2028): [0.5592 , 0.8121]
Modelo: Damped Holt (ETS A,Ad,N)
alpha=0.50, beta=0.30, phi=0.85</t>
        </r>
      </text>
    </comment>
    <comment ref="J25" authorId="1" shapeId="0" xr:uid="{00000000-0006-0000-0000-00003B000000}">
      <text>
        <r>
          <rPr>
            <sz val="11"/>
            <color theme="1"/>
            <rFont val="Calibri"/>
            <family val="2"/>
            <scheme val="minor"/>
          </rPr>
          <t>IC 95% (2029): [0.5207 , 0.8420]
Modelo: Damped Holt (ETS A,Ad,N)
alpha=0.50, beta=0.30, phi=0.85</t>
        </r>
      </text>
    </comment>
    <comment ref="K25" authorId="1" shapeId="0" xr:uid="{00000000-0006-0000-0000-00003C000000}">
      <text>
        <r>
          <rPr>
            <sz val="11"/>
            <color theme="1"/>
            <rFont val="Calibri"/>
            <family val="2"/>
            <scheme val="minor"/>
          </rPr>
          <t>IC 95% (2030): [0.4860 , 0.8705]
Modelo: Damped Holt (ETS A,Ad,N)
alpha=0.50, beta=0.30, phi=0.85</t>
        </r>
      </text>
    </comment>
    <comment ref="G26" authorId="1" shapeId="0" xr:uid="{00000000-0006-0000-0000-00003D000000}">
      <text>
        <r>
          <rPr>
            <sz val="11"/>
            <color theme="1"/>
            <rFont val="Calibri"/>
            <family val="2"/>
            <scheme val="minor"/>
          </rPr>
          <t>IC 95% (2026): [0.6670 , 0.7043]
Modelo: Damped Holt (ETS A,Ad,N)
alpha=0.10, beta=0.01, phi=0.95</t>
        </r>
      </text>
    </comment>
    <comment ref="H26" authorId="1" shapeId="0" xr:uid="{00000000-0006-0000-0000-00003E000000}">
      <text>
        <r>
          <rPr>
            <sz val="11"/>
            <color theme="1"/>
            <rFont val="Calibri"/>
            <family val="2"/>
            <scheme val="minor"/>
          </rPr>
          <t>IC 95% (2027): [0.6688 , 0.7062]
Modelo: Damped Holt (ETS A,Ad,N)
alpha=0.10, beta=0.01, phi=0.95</t>
        </r>
      </text>
    </comment>
    <comment ref="I26" authorId="1" shapeId="0" xr:uid="{00000000-0006-0000-0000-00003F000000}">
      <text>
        <r>
          <rPr>
            <sz val="11"/>
            <color theme="1"/>
            <rFont val="Calibri"/>
            <family val="2"/>
            <scheme val="minor"/>
          </rPr>
          <t>IC 95% (2028): [0.6706 , 0.7087]
Modelo: Damped Holt (ETS A,Ad,N)
alpha=0.10, beta=0.01, phi=0.95</t>
        </r>
      </text>
    </comment>
    <comment ref="J26" authorId="1" shapeId="0" xr:uid="{00000000-0006-0000-0000-000040000000}">
      <text>
        <r>
          <rPr>
            <sz val="11"/>
            <color theme="1"/>
            <rFont val="Calibri"/>
            <family val="2"/>
            <scheme val="minor"/>
          </rPr>
          <t>IC 95% (2029): [0.6724 , 0.7102]
Modelo: Damped Holt (ETS A,Ad,N)
alpha=0.10, beta=0.01, phi=0.95</t>
        </r>
      </text>
    </comment>
    <comment ref="K26" authorId="1" shapeId="0" xr:uid="{00000000-0006-0000-0000-000041000000}">
      <text>
        <r>
          <rPr>
            <sz val="11"/>
            <color theme="1"/>
            <rFont val="Calibri"/>
            <family val="2"/>
            <scheme val="minor"/>
          </rPr>
          <t>IC 95% (2030): [0.6732 , 0.7124]
Modelo: Damped Holt (ETS A,Ad,N)
alpha=0.10, beta=0.01, phi=0.95</t>
        </r>
      </text>
    </comment>
    <comment ref="G27" authorId="1" shapeId="0" xr:uid="{00000000-0006-0000-0000-000042000000}">
      <text>
        <r>
          <rPr>
            <sz val="11"/>
            <color theme="1"/>
            <rFont val="Calibri"/>
            <family val="2"/>
            <scheme val="minor"/>
          </rPr>
          <t>IC 95% (2026): [0.6418 , 0.7063]
Modelo: Damped Holt (ETS A,Ad,N)
alpha=0.50, beta=0.30, phi=0.85</t>
        </r>
      </text>
    </comment>
    <comment ref="H27" authorId="1" shapeId="0" xr:uid="{00000000-0006-0000-0000-000043000000}">
      <text>
        <r>
          <rPr>
            <sz val="11"/>
            <color theme="1"/>
            <rFont val="Calibri"/>
            <family val="2"/>
            <scheme val="minor"/>
          </rPr>
          <t>IC 95% (2027): [0.6290 , 0.7094]
Modelo: Damped Holt (ETS A,Ad,N)
alpha=0.50, beta=0.30, phi=0.85</t>
        </r>
      </text>
    </comment>
    <comment ref="I27" authorId="1" shapeId="0" xr:uid="{00000000-0006-0000-0000-000044000000}">
      <text>
        <r>
          <rPr>
            <sz val="11"/>
            <color theme="1"/>
            <rFont val="Calibri"/>
            <family val="2"/>
            <scheme val="minor"/>
          </rPr>
          <t>IC 95% (2028): [0.6149 , 0.7178]
Modelo: Damped Holt (ETS A,Ad,N)
alpha=0.50, beta=0.30, phi=0.85</t>
        </r>
      </text>
    </comment>
    <comment ref="J27" authorId="1" shapeId="0" xr:uid="{00000000-0006-0000-0000-000045000000}">
      <text>
        <r>
          <rPr>
            <sz val="11"/>
            <color theme="1"/>
            <rFont val="Calibri"/>
            <family val="2"/>
            <scheme val="minor"/>
          </rPr>
          <t>IC 95% (2029): [0.5979 , 0.7253]
Modelo: Damped Holt (ETS A,Ad,N)
alpha=0.50, beta=0.30, phi=0.85</t>
        </r>
      </text>
    </comment>
    <comment ref="K27" authorId="1" shapeId="0" xr:uid="{00000000-0006-0000-0000-000046000000}">
      <text>
        <r>
          <rPr>
            <sz val="11"/>
            <color theme="1"/>
            <rFont val="Calibri"/>
            <family val="2"/>
            <scheme val="minor"/>
          </rPr>
          <t>IC 95% (2030): [0.5849 , 0.7352]
Modelo: Damped Holt (ETS A,Ad,N)
alpha=0.50, beta=0.30, phi=0.85</t>
        </r>
      </text>
    </comment>
    <comment ref="G28" authorId="1" shapeId="0" xr:uid="{00000000-0006-0000-0000-000047000000}">
      <text>
        <r>
          <rPr>
            <sz val="11"/>
            <color theme="1"/>
            <rFont val="Calibri"/>
            <family val="2"/>
            <scheme val="minor"/>
          </rPr>
          <t>IC 95% (2026): [0.6549 , 0.6796]
Modelo: Damped Holt (ETS A,Ad,N)
alpha=0.50, beta=0.30, phi=0.85</t>
        </r>
      </text>
    </comment>
    <comment ref="H28" authorId="1" shapeId="0" xr:uid="{00000000-0006-0000-0000-000048000000}">
      <text>
        <r>
          <rPr>
            <sz val="11"/>
            <color theme="1"/>
            <rFont val="Calibri"/>
            <family val="2"/>
            <scheme val="minor"/>
          </rPr>
          <t>IC 95% (2027): [0.6506 , 0.6817]
Modelo: Damped Holt (ETS A,Ad,N)
alpha=0.50, beta=0.30, phi=0.85</t>
        </r>
      </text>
    </comment>
    <comment ref="I28" authorId="1" shapeId="0" xr:uid="{00000000-0006-0000-0000-000049000000}">
      <text>
        <r>
          <rPr>
            <sz val="11"/>
            <color theme="1"/>
            <rFont val="Calibri"/>
            <family val="2"/>
            <scheme val="minor"/>
          </rPr>
          <t>IC 95% (2028): [0.6461 , 0.6855]
Modelo: Damped Holt (ETS A,Ad,N)
alpha=0.50, beta=0.30, phi=0.85</t>
        </r>
      </text>
    </comment>
    <comment ref="J28" authorId="1" shapeId="0" xr:uid="{00000000-0006-0000-0000-00004A000000}">
      <text>
        <r>
          <rPr>
            <sz val="11"/>
            <color theme="1"/>
            <rFont val="Calibri"/>
            <family val="2"/>
            <scheme val="minor"/>
          </rPr>
          <t>IC 95% (2029): [0.6413 , 0.6897]
Modelo: Damped Holt (ETS A,Ad,N)
alpha=0.50, beta=0.30, phi=0.85</t>
        </r>
      </text>
    </comment>
    <comment ref="K28" authorId="1" shapeId="0" xr:uid="{00000000-0006-0000-0000-00004B000000}">
      <text>
        <r>
          <rPr>
            <sz val="11"/>
            <color theme="1"/>
            <rFont val="Calibri"/>
            <family val="2"/>
            <scheme val="minor"/>
          </rPr>
          <t>IC 95% (2030): [0.6356 , 0.6950]
Modelo: Damped Holt (ETS A,Ad,N)
alpha=0.50, beta=0.30, phi=0.85</t>
        </r>
      </text>
    </comment>
    <comment ref="G29" authorId="1" shapeId="0" xr:uid="{00000000-0006-0000-0000-00004C000000}">
      <text>
        <r>
          <rPr>
            <sz val="11"/>
            <color theme="1"/>
            <rFont val="Calibri"/>
            <family val="2"/>
            <scheme val="minor"/>
          </rPr>
          <t>IC 95% (2026): [0.4776 , 0.7403]
Modelo: Damped Holt (ETS A,Ad,N)
alpha=0.50, beta=0.30, phi=0.85</t>
        </r>
      </text>
    </comment>
    <comment ref="H29" authorId="1" shapeId="0" xr:uid="{00000000-0006-0000-0000-00004D000000}">
      <text>
        <r>
          <rPr>
            <sz val="11"/>
            <color theme="1"/>
            <rFont val="Calibri"/>
            <family val="2"/>
            <scheme val="minor"/>
          </rPr>
          <t>IC 95% (2027): [0.4283 , 0.7514]
Modelo: Damped Holt (ETS A,Ad,N)
alpha=0.50, beta=0.30, phi=0.85</t>
        </r>
      </text>
    </comment>
    <comment ref="I29" authorId="1" shapeId="0" xr:uid="{00000000-0006-0000-0000-00004E000000}">
      <text>
        <r>
          <rPr>
            <sz val="11"/>
            <color theme="1"/>
            <rFont val="Calibri"/>
            <family val="2"/>
            <scheme val="minor"/>
          </rPr>
          <t>IC 95% (2028): [0.3714 , 0.7749]
Modelo: Damped Holt (ETS A,Ad,N)
alpha=0.50, beta=0.30, phi=0.85</t>
        </r>
      </text>
    </comment>
    <comment ref="J29" authorId="1" shapeId="0" xr:uid="{00000000-0006-0000-0000-00004F000000}">
      <text>
        <r>
          <rPr>
            <sz val="11"/>
            <color theme="1"/>
            <rFont val="Calibri"/>
            <family val="2"/>
            <scheme val="minor"/>
          </rPr>
          <t>IC 95% (2029): [0.3039 , 0.8095]
Modelo: Damped Holt (ETS A,Ad,N)
alpha=0.50, beta=0.30, phi=0.85</t>
        </r>
      </text>
    </comment>
    <comment ref="K29" authorId="1" shapeId="0" xr:uid="{00000000-0006-0000-0000-000050000000}">
      <text>
        <r>
          <rPr>
            <sz val="11"/>
            <color theme="1"/>
            <rFont val="Calibri"/>
            <family val="2"/>
            <scheme val="minor"/>
          </rPr>
          <t>IC 95% (2030): [0.2415 , 0.8496]
Modelo: Damped Holt (ETS A,Ad,N)
alpha=0.50, beta=0.30, phi=0.85</t>
        </r>
      </text>
    </comment>
    <comment ref="G30" authorId="1" shapeId="0" xr:uid="{00000000-0006-0000-0000-000051000000}">
      <text>
        <r>
          <rPr>
            <sz val="11"/>
            <color theme="1"/>
            <rFont val="Calibri"/>
            <family val="2"/>
            <scheme val="minor"/>
          </rPr>
          <t>IC 95% (2026): [0.6064 , 0.7689]
Modelo: Damped Holt (ETS A,Ad,N)
alpha=0.50, beta=0.30, phi=0.85</t>
        </r>
      </text>
    </comment>
    <comment ref="H30" authorId="1" shapeId="0" xr:uid="{00000000-0006-0000-0000-000052000000}">
      <text>
        <r>
          <rPr>
            <sz val="11"/>
            <color theme="1"/>
            <rFont val="Calibri"/>
            <family val="2"/>
            <scheme val="minor"/>
          </rPr>
          <t>IC 95% (2027): [0.5768 , 0.7851]
Modelo: Damped Holt (ETS A,Ad,N)
alpha=0.50, beta=0.30, phi=0.85</t>
        </r>
      </text>
    </comment>
    <comment ref="I30" authorId="1" shapeId="0" xr:uid="{00000000-0006-0000-0000-000053000000}">
      <text>
        <r>
          <rPr>
            <sz val="11"/>
            <color theme="1"/>
            <rFont val="Calibri"/>
            <family val="2"/>
            <scheme val="minor"/>
          </rPr>
          <t>IC 95% (2028): [0.5471 , 0.8076]
Modelo: Damped Holt (ETS A,Ad,N)
alpha=0.50, beta=0.30, phi=0.85</t>
        </r>
      </text>
    </comment>
    <comment ref="J30" authorId="1" shapeId="0" xr:uid="{00000000-0006-0000-0000-000054000000}">
      <text>
        <r>
          <rPr>
            <sz val="11"/>
            <color theme="1"/>
            <rFont val="Calibri"/>
            <family val="2"/>
            <scheme val="minor"/>
          </rPr>
          <t>IC 95% (2029): [0.5158 , 0.8328]
Modelo: Damped Holt (ETS A,Ad,N)
alpha=0.50, beta=0.30, phi=0.85</t>
        </r>
      </text>
    </comment>
    <comment ref="K30" authorId="1" shapeId="0" xr:uid="{00000000-0006-0000-0000-000055000000}">
      <text>
        <r>
          <rPr>
            <sz val="11"/>
            <color theme="1"/>
            <rFont val="Calibri"/>
            <family val="2"/>
            <scheme val="minor"/>
          </rPr>
          <t>IC 95% (2030): [0.4748 , 0.8633]
Modelo: Damped Holt (ETS A,Ad,N)
alpha=0.50, beta=0.30, phi=0.85</t>
        </r>
      </text>
    </comment>
    <comment ref="G31" authorId="1" shapeId="0" xr:uid="{00000000-0006-0000-0000-000056000000}">
      <text>
        <r>
          <rPr>
            <sz val="11"/>
            <color theme="1"/>
            <rFont val="Calibri"/>
            <family val="2"/>
            <scheme val="minor"/>
          </rPr>
          <t>IC 95% (2026): [0.5315 , 0.8919]
Modelo: Damped Holt (ETS A,Ad,N)
alpha=0.50, beta=0.30, phi=0.85</t>
        </r>
      </text>
    </comment>
    <comment ref="H31" authorId="1" shapeId="0" xr:uid="{00000000-0006-0000-0000-000057000000}">
      <text>
        <r>
          <rPr>
            <sz val="11"/>
            <color theme="1"/>
            <rFont val="Calibri"/>
            <family val="2"/>
            <scheme val="minor"/>
          </rPr>
          <t>IC 95% (2027): [0.4789 , 0.9407]
Modelo: Damped Holt (ETS A,Ad,N)
alpha=0.50, beta=0.30, phi=0.85</t>
        </r>
      </text>
    </comment>
    <comment ref="I31" authorId="1" shapeId="0" xr:uid="{00000000-0006-0000-0000-000058000000}">
      <text>
        <r>
          <rPr>
            <sz val="11"/>
            <color theme="1"/>
            <rFont val="Calibri"/>
            <family val="2"/>
            <scheme val="minor"/>
          </rPr>
          <t>IC 95% (2028): [0.4154 , 1.0042]
Modelo: Damped Holt (ETS A,Ad,N)
alpha=0.50, beta=0.30, phi=0.85</t>
        </r>
      </text>
    </comment>
    <comment ref="J31" authorId="1" shapeId="0" xr:uid="{00000000-0006-0000-0000-000059000000}">
      <text>
        <r>
          <rPr>
            <sz val="11"/>
            <color theme="1"/>
            <rFont val="Calibri"/>
            <family val="2"/>
            <scheme val="minor"/>
          </rPr>
          <t>IC 95% (2029): [0.3466 , 1.0684]
Modelo: Damped Holt (ETS A,Ad,N)
alpha=0.50, beta=0.30, phi=0.85</t>
        </r>
      </text>
    </comment>
    <comment ref="K31" authorId="1" shapeId="0" xr:uid="{00000000-0006-0000-0000-00005A000000}">
      <text>
        <r>
          <rPr>
            <sz val="11"/>
            <color theme="1"/>
            <rFont val="Calibri"/>
            <family val="2"/>
            <scheme val="minor"/>
          </rPr>
          <t>IC 95% (2030): [0.2543 , 1.1434]
Modelo: Damped Holt (ETS A,Ad,N)
alpha=0.50, beta=0.30, phi=0.85</t>
        </r>
      </text>
    </comment>
    <comment ref="G32" authorId="1" shapeId="0" xr:uid="{00000000-0006-0000-0000-00005B000000}">
      <text>
        <r>
          <rPr>
            <sz val="11"/>
            <color theme="1"/>
            <rFont val="Calibri"/>
            <family val="2"/>
            <scheme val="minor"/>
          </rPr>
          <t>IC 95% (2026): [0.5894 , 0.7850]
Modelo: Damped Holt (ETS A,Ad,N)
alpha=0.50, beta=0.30, phi=0.85</t>
        </r>
      </text>
    </comment>
    <comment ref="H32" authorId="1" shapeId="0" xr:uid="{00000000-0006-0000-0000-00005C000000}">
      <text>
        <r>
          <rPr>
            <sz val="11"/>
            <color theme="1"/>
            <rFont val="Calibri"/>
            <family val="2"/>
            <scheme val="minor"/>
          </rPr>
          <t>IC 95% (2027): [0.5531 , 0.8052]
Modelo: Damped Holt (ETS A,Ad,N)
alpha=0.50, beta=0.30, phi=0.85</t>
        </r>
      </text>
    </comment>
    <comment ref="I32" authorId="1" shapeId="0" xr:uid="{00000000-0006-0000-0000-00005D000000}">
      <text>
        <r>
          <rPr>
            <sz val="11"/>
            <color theme="1"/>
            <rFont val="Calibri"/>
            <family val="2"/>
            <scheme val="minor"/>
          </rPr>
          <t>IC 95% (2028): [0.5175 , 0.8357]
Modelo: Damped Holt (ETS A,Ad,N)
alpha=0.50, beta=0.30, phi=0.85</t>
        </r>
      </text>
    </comment>
    <comment ref="J32" authorId="1" shapeId="0" xr:uid="{00000000-0006-0000-0000-00005E000000}">
      <text>
        <r>
          <rPr>
            <sz val="11"/>
            <color theme="1"/>
            <rFont val="Calibri"/>
            <family val="2"/>
            <scheme val="minor"/>
          </rPr>
          <t>IC 95% (2029): [0.4769 , 0.8692]
Modelo: Damped Holt (ETS A,Ad,N)
alpha=0.50, beta=0.30, phi=0.85</t>
        </r>
      </text>
    </comment>
    <comment ref="K32" authorId="1" shapeId="0" xr:uid="{00000000-0006-0000-0000-00005F000000}">
      <text>
        <r>
          <rPr>
            <sz val="11"/>
            <color theme="1"/>
            <rFont val="Calibri"/>
            <family val="2"/>
            <scheme val="minor"/>
          </rPr>
          <t>IC 95% (2030): [0.4358 , 0.9098]
Modelo: Damped Holt (ETS A,Ad,N)
alpha=0.50, beta=0.30, phi=0.85</t>
        </r>
      </text>
    </comment>
    <comment ref="G33" authorId="1" shapeId="0" xr:uid="{00000000-0006-0000-0000-000060000000}">
      <text>
        <r>
          <rPr>
            <sz val="11"/>
            <color theme="1"/>
            <rFont val="Calibri"/>
            <family val="2"/>
            <scheme val="minor"/>
          </rPr>
          <t>IC 95% (2026): [0.5958 , 0.7656]
Modelo: Damped Holt (ETS A,Ad,N)
alpha=0.50, beta=0.30, phi=0.85</t>
        </r>
      </text>
    </comment>
    <comment ref="H33" authorId="1" shapeId="0" xr:uid="{00000000-0006-0000-0000-000061000000}">
      <text>
        <r>
          <rPr>
            <sz val="11"/>
            <color theme="1"/>
            <rFont val="Calibri"/>
            <family val="2"/>
            <scheme val="minor"/>
          </rPr>
          <t>IC 95% (2027): [0.5826 , 0.7943]
Modelo: Damped Holt (ETS A,Ad,N)
alpha=0.50, beta=0.30, phi=0.85</t>
        </r>
      </text>
    </comment>
    <comment ref="I33" authorId="1" shapeId="0" xr:uid="{00000000-0006-0000-0000-000062000000}">
      <text>
        <r>
          <rPr>
            <sz val="11"/>
            <color theme="1"/>
            <rFont val="Calibri"/>
            <family val="2"/>
            <scheme val="minor"/>
          </rPr>
          <t>IC 95% (2028): [0.5578 , 0.8271]
Modelo: Damped Holt (ETS A,Ad,N)
alpha=0.50, beta=0.30, phi=0.85</t>
        </r>
      </text>
    </comment>
    <comment ref="J33" authorId="1" shapeId="0" xr:uid="{00000000-0006-0000-0000-000063000000}">
      <text>
        <r>
          <rPr>
            <sz val="11"/>
            <color theme="1"/>
            <rFont val="Calibri"/>
            <family val="2"/>
            <scheme val="minor"/>
          </rPr>
          <t>IC 95% (2029): [0.5258 , 0.8620]
Modelo: Damped Holt (ETS A,Ad,N)
alpha=0.50, beta=0.30, phi=0.85</t>
        </r>
      </text>
    </comment>
    <comment ref="K33" authorId="1" shapeId="0" xr:uid="{00000000-0006-0000-0000-000064000000}">
      <text>
        <r>
          <rPr>
            <sz val="11"/>
            <color theme="1"/>
            <rFont val="Calibri"/>
            <family val="2"/>
            <scheme val="minor"/>
          </rPr>
          <t>IC 95% (2030): [0.4966 , 0.9006]
Modelo: Damped Holt (ETS A,Ad,N)
alpha=0.50, beta=0.30, phi=0.85</t>
        </r>
      </text>
    </comment>
    <comment ref="G34" authorId="1" shapeId="0" xr:uid="{00000000-0006-0000-0000-000065000000}">
      <text>
        <r>
          <rPr>
            <sz val="11"/>
            <color theme="1"/>
            <rFont val="Calibri"/>
            <family val="2"/>
            <scheme val="minor"/>
          </rPr>
          <t>IC 95% (2026): [0.6265 , 0.7385]
Modelo: Damped Holt (ETS A,Ad,N)
alpha=0.50, beta=0.30, phi=0.85</t>
        </r>
      </text>
    </comment>
    <comment ref="H34" authorId="1" shapeId="0" xr:uid="{00000000-0006-0000-0000-000066000000}">
      <text>
        <r>
          <rPr>
            <sz val="11"/>
            <color theme="1"/>
            <rFont val="Calibri"/>
            <family val="2"/>
            <scheme val="minor"/>
          </rPr>
          <t>IC 95% (2027): [0.6138 , 0.7594]
Modelo: Damped Holt (ETS A,Ad,N)
alpha=0.50, beta=0.30, phi=0.85</t>
        </r>
      </text>
    </comment>
    <comment ref="I34" authorId="1" shapeId="0" xr:uid="{00000000-0006-0000-0000-000067000000}">
      <text>
        <r>
          <rPr>
            <sz val="11"/>
            <color theme="1"/>
            <rFont val="Calibri"/>
            <family val="2"/>
            <scheme val="minor"/>
          </rPr>
          <t>IC 95% (2028): [0.5985 , 0.7824]
Modelo: Damped Holt (ETS A,Ad,N)
alpha=0.50, beta=0.30, phi=0.85</t>
        </r>
      </text>
    </comment>
    <comment ref="J34" authorId="1" shapeId="0" xr:uid="{00000000-0006-0000-0000-000068000000}">
      <text>
        <r>
          <rPr>
            <sz val="11"/>
            <color theme="1"/>
            <rFont val="Calibri"/>
            <family val="2"/>
            <scheme val="minor"/>
          </rPr>
          <t>IC 95% (2029): [0.5804 , 0.8056]
Modelo: Damped Holt (ETS A,Ad,N)
alpha=0.50, beta=0.30, phi=0.85</t>
        </r>
      </text>
    </comment>
    <comment ref="K34" authorId="1" shapeId="0" xr:uid="{00000000-0006-0000-0000-000069000000}">
      <text>
        <r>
          <rPr>
            <sz val="11"/>
            <color theme="1"/>
            <rFont val="Calibri"/>
            <family val="2"/>
            <scheme val="minor"/>
          </rPr>
          <t>IC 95% (2030): [0.5570 , 0.8304]
Modelo: Damped Holt (ETS A,Ad,N)
alpha=0.50, beta=0.30, phi=0.85</t>
        </r>
      </text>
    </comment>
    <comment ref="G35" authorId="1" shapeId="0" xr:uid="{00000000-0006-0000-0000-00006A000000}">
      <text>
        <r>
          <rPr>
            <sz val="11"/>
            <color theme="1"/>
            <rFont val="Calibri"/>
            <family val="2"/>
            <scheme val="minor"/>
          </rPr>
          <t>IC 95% (2026): [0.5988 , 0.7677]
Modelo: Damped Holt (ETS A,Ad,N)
alpha=0.50, beta=0.30, phi=0.85</t>
        </r>
      </text>
    </comment>
    <comment ref="H35" authorId="1" shapeId="0" xr:uid="{00000000-0006-0000-0000-00006B000000}">
      <text>
        <r>
          <rPr>
            <sz val="11"/>
            <color theme="1"/>
            <rFont val="Calibri"/>
            <family val="2"/>
            <scheme val="minor"/>
          </rPr>
          <t>IC 95% (2027): [0.5832 , 0.7946]
Modelo: Damped Holt (ETS A,Ad,N)
alpha=0.50, beta=0.30, phi=0.85</t>
        </r>
      </text>
    </comment>
    <comment ref="I35" authorId="1" shapeId="0" xr:uid="{00000000-0006-0000-0000-00006C000000}">
      <text>
        <r>
          <rPr>
            <sz val="11"/>
            <color theme="1"/>
            <rFont val="Calibri"/>
            <family val="2"/>
            <scheme val="minor"/>
          </rPr>
          <t>IC 95% (2028): [0.5584 , 0.8217]
Modelo: Damped Holt (ETS A,Ad,N)
alpha=0.50, beta=0.30, phi=0.85</t>
        </r>
      </text>
    </comment>
    <comment ref="J35" authorId="1" shapeId="0" xr:uid="{00000000-0006-0000-0000-00006D000000}">
      <text>
        <r>
          <rPr>
            <sz val="11"/>
            <color theme="1"/>
            <rFont val="Calibri"/>
            <family val="2"/>
            <scheme val="minor"/>
          </rPr>
          <t>IC 95% (2029): [0.5304 , 0.8561]
Modelo: Damped Holt (ETS A,Ad,N)
alpha=0.50, beta=0.30, phi=0.85</t>
        </r>
      </text>
    </comment>
    <comment ref="K35" authorId="1" shapeId="0" xr:uid="{00000000-0006-0000-0000-00006E000000}">
      <text>
        <r>
          <rPr>
            <sz val="11"/>
            <color theme="1"/>
            <rFont val="Calibri"/>
            <family val="2"/>
            <scheme val="minor"/>
          </rPr>
          <t>IC 95% (2030): [0.4981 , 0.8923]
Modelo: Damped Holt (ETS A,Ad,N)
alpha=0.50, beta=0.30, phi=0.85</t>
        </r>
      </text>
    </comment>
    <comment ref="G36" authorId="1" shapeId="0" xr:uid="{00000000-0006-0000-0000-00006F000000}">
      <text>
        <r>
          <rPr>
            <sz val="11"/>
            <color theme="1"/>
            <rFont val="Calibri"/>
            <family val="2"/>
            <scheme val="minor"/>
          </rPr>
          <t>IC 95% (2026): [0.6061 , 0.7301]
Modelo: Damped Holt (ETS A,Ad,N)
alpha=0.50, beta=0.30, phi=0.85</t>
        </r>
      </text>
    </comment>
    <comment ref="H36" authorId="1" shapeId="0" xr:uid="{00000000-0006-0000-0000-000070000000}">
      <text>
        <r>
          <rPr>
            <sz val="11"/>
            <color theme="1"/>
            <rFont val="Calibri"/>
            <family val="2"/>
            <scheme val="minor"/>
          </rPr>
          <t>IC 95% (2027): [0.5955 , 0.7498]
Modelo: Damped Holt (ETS A,Ad,N)
alpha=0.50, beta=0.30, phi=0.85</t>
        </r>
      </text>
    </comment>
    <comment ref="I36" authorId="1" shapeId="0" xr:uid="{00000000-0006-0000-0000-000071000000}">
      <text>
        <r>
          <rPr>
            <sz val="11"/>
            <color theme="1"/>
            <rFont val="Calibri"/>
            <family val="2"/>
            <scheme val="minor"/>
          </rPr>
          <t>IC 95% (2028): [0.5789 , 0.7718]
Modelo: Damped Holt (ETS A,Ad,N)
alpha=0.50, beta=0.30, phi=0.85</t>
        </r>
      </text>
    </comment>
    <comment ref="J36" authorId="1" shapeId="0" xr:uid="{00000000-0006-0000-0000-000072000000}">
      <text>
        <r>
          <rPr>
            <sz val="11"/>
            <color theme="1"/>
            <rFont val="Calibri"/>
            <family val="2"/>
            <scheme val="minor"/>
          </rPr>
          <t>IC 95% (2029): [0.5600 , 0.7986]
Modelo: Damped Holt (ETS A,Ad,N)
alpha=0.50, beta=0.30, phi=0.85</t>
        </r>
      </text>
    </comment>
    <comment ref="K36" authorId="1" shapeId="0" xr:uid="{00000000-0006-0000-0000-000073000000}">
      <text>
        <r>
          <rPr>
            <sz val="11"/>
            <color theme="1"/>
            <rFont val="Calibri"/>
            <family val="2"/>
            <scheme val="minor"/>
          </rPr>
          <t>IC 95% (2030): [0.5364 , 0.8257]
Modelo: Damped Holt (ETS A,Ad,N)
alpha=0.50, beta=0.30, phi=0.85</t>
        </r>
      </text>
    </comment>
    <comment ref="G37" authorId="1" shapeId="0" xr:uid="{00000000-0006-0000-0000-000074000000}">
      <text>
        <r>
          <rPr>
            <sz val="11"/>
            <color theme="1"/>
            <rFont val="Calibri"/>
            <family val="2"/>
            <scheme val="minor"/>
          </rPr>
          <t>IC 95% (2026): [0.6039 , 0.7442]
Modelo: Damped Holt (ETS A,Ad,N)
alpha=0.50, beta=0.30, phi=0.85</t>
        </r>
      </text>
    </comment>
    <comment ref="H37" authorId="1" shapeId="0" xr:uid="{00000000-0006-0000-0000-000075000000}">
      <text>
        <r>
          <rPr>
            <sz val="11"/>
            <color theme="1"/>
            <rFont val="Calibri"/>
            <family val="2"/>
            <scheme val="minor"/>
          </rPr>
          <t>IC 95% (2027): [0.5889 , 0.7648]
Modelo: Damped Holt (ETS A,Ad,N)
alpha=0.50, beta=0.30, phi=0.85</t>
        </r>
      </text>
    </comment>
    <comment ref="I37" authorId="1" shapeId="0" xr:uid="{00000000-0006-0000-0000-000076000000}">
      <text>
        <r>
          <rPr>
            <sz val="11"/>
            <color theme="1"/>
            <rFont val="Calibri"/>
            <family val="2"/>
            <scheme val="minor"/>
          </rPr>
          <t>IC 95% (2028): [0.5668 , 0.7904]
Modelo: Damped Holt (ETS A,Ad,N)
alpha=0.50, beta=0.30, phi=0.85</t>
        </r>
      </text>
    </comment>
    <comment ref="J37" authorId="1" shapeId="0" xr:uid="{00000000-0006-0000-0000-000077000000}">
      <text>
        <r>
          <rPr>
            <sz val="11"/>
            <color theme="1"/>
            <rFont val="Calibri"/>
            <family val="2"/>
            <scheme val="minor"/>
          </rPr>
          <t>IC 95% (2029): [0.5440 , 0.8217]
Modelo: Damped Holt (ETS A,Ad,N)
alpha=0.50, beta=0.30, phi=0.85</t>
        </r>
      </text>
    </comment>
    <comment ref="K37" authorId="1" shapeId="0" xr:uid="{00000000-0006-0000-0000-000078000000}">
      <text>
        <r>
          <rPr>
            <sz val="11"/>
            <color theme="1"/>
            <rFont val="Calibri"/>
            <family val="2"/>
            <scheme val="minor"/>
          </rPr>
          <t>IC 95% (2030): [0.5185 , 0.8513]
Modelo: Damped Holt (ETS A,Ad,N)
alpha=0.50, beta=0.30, phi=0.85</t>
        </r>
      </text>
    </comment>
    <comment ref="G38" authorId="1" shapeId="0" xr:uid="{00000000-0006-0000-0000-000079000000}">
      <text>
        <r>
          <rPr>
            <sz val="11"/>
            <color theme="1"/>
            <rFont val="Calibri"/>
            <family val="2"/>
            <scheme val="minor"/>
          </rPr>
          <t>IC 95% (2026): [0.6181 , 0.6851]
Modelo: Damped Holt (ETS A,Ad,N)
alpha=0.50, beta=0.30, phi=0.85</t>
        </r>
      </text>
    </comment>
    <comment ref="H38" authorId="1" shapeId="0" xr:uid="{00000000-0006-0000-0000-00007A000000}">
      <text>
        <r>
          <rPr>
            <sz val="11"/>
            <color theme="1"/>
            <rFont val="Calibri"/>
            <family val="2"/>
            <scheme val="minor"/>
          </rPr>
          <t>IC 95% (2027): [0.6102 , 0.6948]
Modelo: Damped Holt (ETS A,Ad,N)
alpha=0.50, beta=0.30, phi=0.85</t>
        </r>
      </text>
    </comment>
    <comment ref="I38" authorId="1" shapeId="0" xr:uid="{00000000-0006-0000-0000-00007B000000}">
      <text>
        <r>
          <rPr>
            <sz val="11"/>
            <color theme="1"/>
            <rFont val="Calibri"/>
            <family val="2"/>
            <scheme val="minor"/>
          </rPr>
          <t>IC 95% (2028): [0.5984 , 0.7059]
Modelo: Damped Holt (ETS A,Ad,N)
alpha=0.50, beta=0.30, phi=0.85</t>
        </r>
      </text>
    </comment>
    <comment ref="J38" authorId="1" shapeId="0" xr:uid="{00000000-0006-0000-0000-00007C000000}">
      <text>
        <r>
          <rPr>
            <sz val="11"/>
            <color theme="1"/>
            <rFont val="Calibri"/>
            <family val="2"/>
            <scheme val="minor"/>
          </rPr>
          <t>IC 95% (2029): [0.5860 , 0.7194]
Modelo: Damped Holt (ETS A,Ad,N)
alpha=0.50, beta=0.30, phi=0.85</t>
        </r>
      </text>
    </comment>
    <comment ref="K38" authorId="1" shapeId="0" xr:uid="{00000000-0006-0000-0000-00007D000000}">
      <text>
        <r>
          <rPr>
            <sz val="11"/>
            <color theme="1"/>
            <rFont val="Calibri"/>
            <family val="2"/>
            <scheme val="minor"/>
          </rPr>
          <t>IC 95% (2030): [0.5721 , 0.7321]
Modelo: Damped Holt (ETS A,Ad,N)
alpha=0.50, beta=0.30, phi=0.85</t>
        </r>
      </text>
    </comment>
    <comment ref="G39" authorId="1" shapeId="0" xr:uid="{00000000-0006-0000-0000-00007E000000}">
      <text>
        <r>
          <rPr>
            <sz val="11"/>
            <color theme="1"/>
            <rFont val="Calibri"/>
            <family val="2"/>
            <scheme val="minor"/>
          </rPr>
          <t>IC 95% (2026): [0.5727 , 0.7707]
Modelo: Damped Holt (ETS A,Ad,N)
alpha=0.50, beta=0.30, phi=0.85</t>
        </r>
      </text>
    </comment>
    <comment ref="H39" authorId="1" shapeId="0" xr:uid="{00000000-0006-0000-0000-00007F000000}">
      <text>
        <r>
          <rPr>
            <sz val="11"/>
            <color theme="1"/>
            <rFont val="Calibri"/>
            <family val="2"/>
            <scheme val="minor"/>
          </rPr>
          <t>IC 95% (2027): [0.5503 , 0.8035]
Modelo: Damped Holt (ETS A,Ad,N)
alpha=0.50, beta=0.30, phi=0.85</t>
        </r>
      </text>
    </comment>
    <comment ref="I39" authorId="1" shapeId="0" xr:uid="{00000000-0006-0000-0000-000080000000}">
      <text>
        <r>
          <rPr>
            <sz val="11"/>
            <color theme="1"/>
            <rFont val="Calibri"/>
            <family val="2"/>
            <scheme val="minor"/>
          </rPr>
          <t>IC 95% (2028): [0.5173 , 0.8383]
Modelo: Damped Holt (ETS A,Ad,N)
alpha=0.50, beta=0.30, phi=0.85</t>
        </r>
      </text>
    </comment>
    <comment ref="J39" authorId="1" shapeId="0" xr:uid="{00000000-0006-0000-0000-000081000000}">
      <text>
        <r>
          <rPr>
            <sz val="11"/>
            <color theme="1"/>
            <rFont val="Calibri"/>
            <family val="2"/>
            <scheme val="minor"/>
          </rPr>
          <t>IC 95% (2029): [0.4919 , 0.8825]
Modelo: Damped Holt (ETS A,Ad,N)
alpha=0.50, beta=0.30, phi=0.85</t>
        </r>
      </text>
    </comment>
    <comment ref="K39" authorId="1" shapeId="0" xr:uid="{00000000-0006-0000-0000-000082000000}">
      <text>
        <r>
          <rPr>
            <sz val="11"/>
            <color theme="1"/>
            <rFont val="Calibri"/>
            <family val="2"/>
            <scheme val="minor"/>
          </rPr>
          <t>IC 95% (2030): [0.4519 , 0.9296]
Modelo: Damped Holt (ETS A,Ad,N)
alpha=0.50, beta=0.30, phi=0.85</t>
        </r>
      </text>
    </comment>
    <comment ref="G40" authorId="1" shapeId="0" xr:uid="{00000000-0006-0000-0000-000083000000}">
      <text>
        <r>
          <rPr>
            <sz val="11"/>
            <color theme="1"/>
            <rFont val="Calibri"/>
            <family val="2"/>
            <scheme val="minor"/>
          </rPr>
          <t>IC 95% (2026): [0.5885 , 0.6989]
Modelo: Damped Holt (ETS A,Ad,N)
alpha=0.50, beta=0.30, phi=0.85</t>
        </r>
      </text>
    </comment>
    <comment ref="H40" authorId="1" shapeId="0" xr:uid="{00000000-0006-0000-0000-000084000000}">
      <text>
        <r>
          <rPr>
            <sz val="11"/>
            <color theme="1"/>
            <rFont val="Calibri"/>
            <family val="2"/>
            <scheme val="minor"/>
          </rPr>
          <t>IC 95% (2027): [0.5714 , 0.7089]
Modelo: Damped Holt (ETS A,Ad,N)
alpha=0.50, beta=0.30, phi=0.85</t>
        </r>
      </text>
    </comment>
    <comment ref="I40" authorId="1" shapeId="0" xr:uid="{00000000-0006-0000-0000-000085000000}">
      <text>
        <r>
          <rPr>
            <sz val="11"/>
            <color theme="1"/>
            <rFont val="Calibri"/>
            <family val="2"/>
            <scheme val="minor"/>
          </rPr>
          <t>IC 95% (2028): [0.5494 , 0.7262]
Modelo: Damped Holt (ETS A,Ad,N)
alpha=0.50, beta=0.30, phi=0.85</t>
        </r>
      </text>
    </comment>
    <comment ref="J40" authorId="1" shapeId="0" xr:uid="{00000000-0006-0000-0000-000086000000}">
      <text>
        <r>
          <rPr>
            <sz val="11"/>
            <color theme="1"/>
            <rFont val="Calibri"/>
            <family val="2"/>
            <scheme val="minor"/>
          </rPr>
          <t>IC 95% (2029): [0.5273 , 0.7447]
Modelo: Damped Holt (ETS A,Ad,N)
alpha=0.50, beta=0.30, phi=0.85</t>
        </r>
      </text>
    </comment>
    <comment ref="K40" authorId="1" shapeId="0" xr:uid="{00000000-0006-0000-0000-000087000000}">
      <text>
        <r>
          <rPr>
            <sz val="11"/>
            <color theme="1"/>
            <rFont val="Calibri"/>
            <family val="2"/>
            <scheme val="minor"/>
          </rPr>
          <t>IC 95% (2030): [0.5073 , 0.7637]
Modelo: Damped Holt (ETS A,Ad,N)
alpha=0.50, beta=0.30, phi=0.85</t>
        </r>
      </text>
    </comment>
    <comment ref="G41" authorId="1" shapeId="0" xr:uid="{00000000-0006-0000-0000-000088000000}">
      <text>
        <r>
          <rPr>
            <sz val="11"/>
            <color theme="1"/>
            <rFont val="Calibri"/>
            <family val="2"/>
            <scheme val="minor"/>
          </rPr>
          <t>IC 95% (2026): [0.5292 , 0.7637]
Modelo: Damped Holt (ETS A,Ad,N)
alpha=0.50, beta=0.30, phi=0.85</t>
        </r>
      </text>
    </comment>
    <comment ref="H41" authorId="1" shapeId="0" xr:uid="{00000000-0006-0000-0000-000089000000}">
      <text>
        <r>
          <rPr>
            <sz val="11"/>
            <color theme="1"/>
            <rFont val="Calibri"/>
            <family val="2"/>
            <scheme val="minor"/>
          </rPr>
          <t>IC 95% (2027): [0.5029 , 0.7911]
Modelo: Damped Holt (ETS A,Ad,N)
alpha=0.50, beta=0.30, phi=0.85</t>
        </r>
      </text>
    </comment>
    <comment ref="I41" authorId="1" shapeId="0" xr:uid="{00000000-0006-0000-0000-00008A000000}">
      <text>
        <r>
          <rPr>
            <sz val="11"/>
            <color theme="1"/>
            <rFont val="Calibri"/>
            <family val="2"/>
            <scheme val="minor"/>
          </rPr>
          <t>IC 95% (2028): [0.4584 , 0.8338]
Modelo: Damped Holt (ETS A,Ad,N)
alpha=0.50, beta=0.30, phi=0.85</t>
        </r>
      </text>
    </comment>
    <comment ref="J41" authorId="1" shapeId="0" xr:uid="{00000000-0006-0000-0000-00008B000000}">
      <text>
        <r>
          <rPr>
            <sz val="11"/>
            <color theme="1"/>
            <rFont val="Calibri"/>
            <family val="2"/>
            <scheme val="minor"/>
          </rPr>
          <t>IC 95% (2029): [0.4126 , 0.8774]
Modelo: Damped Holt (ETS A,Ad,N)
alpha=0.50, beta=0.30, phi=0.85</t>
        </r>
      </text>
    </comment>
    <comment ref="K41" authorId="1" shapeId="0" xr:uid="{00000000-0006-0000-0000-00008C000000}">
      <text>
        <r>
          <rPr>
            <sz val="11"/>
            <color theme="1"/>
            <rFont val="Calibri"/>
            <family val="2"/>
            <scheme val="minor"/>
          </rPr>
          <t>IC 95% (2030): [0.3672 , 0.9190]
Modelo: Damped Holt (ETS A,Ad,N)
alpha=0.50, beta=0.30, phi=0.85</t>
        </r>
      </text>
    </comment>
    <comment ref="G42" authorId="1" shapeId="0" xr:uid="{00000000-0006-0000-0000-00008D000000}">
      <text>
        <r>
          <rPr>
            <sz val="11"/>
            <color theme="1"/>
            <rFont val="Calibri"/>
            <family val="2"/>
            <scheme val="minor"/>
          </rPr>
          <t>IC 95% (2026): [0.5762 , 0.6930]
Modelo: Damped Holt (ETS A,Ad,N)
alpha=0.50, beta=0.30, phi=0.85</t>
        </r>
      </text>
    </comment>
    <comment ref="H42" authorId="1" shapeId="0" xr:uid="{00000000-0006-0000-0000-00008E000000}">
      <text>
        <r>
          <rPr>
            <sz val="11"/>
            <color theme="1"/>
            <rFont val="Calibri"/>
            <family val="2"/>
            <scheme val="minor"/>
          </rPr>
          <t>IC 95% (2027): [0.5629 , 0.7116]
Modelo: Damped Holt (ETS A,Ad,N)
alpha=0.50, beta=0.30, phi=0.85</t>
        </r>
      </text>
    </comment>
    <comment ref="I42" authorId="1" shapeId="0" xr:uid="{00000000-0006-0000-0000-00008F000000}">
      <text>
        <r>
          <rPr>
            <sz val="11"/>
            <color theme="1"/>
            <rFont val="Calibri"/>
            <family val="2"/>
            <scheme val="minor"/>
          </rPr>
          <t>IC 95% (2028): [0.5464 , 0.7329]
Modelo: Damped Holt (ETS A,Ad,N)
alpha=0.50, beta=0.30, phi=0.85</t>
        </r>
      </text>
    </comment>
    <comment ref="J42" authorId="1" shapeId="0" xr:uid="{00000000-0006-0000-0000-000090000000}">
      <text>
        <r>
          <rPr>
            <sz val="11"/>
            <color theme="1"/>
            <rFont val="Calibri"/>
            <family val="2"/>
            <scheme val="minor"/>
          </rPr>
          <t>IC 95% (2029): [0.5233 , 0.7552]
Modelo: Damped Holt (ETS A,Ad,N)
alpha=0.50, beta=0.30, phi=0.85</t>
        </r>
      </text>
    </comment>
    <comment ref="K42" authorId="1" shapeId="0" xr:uid="{00000000-0006-0000-0000-000091000000}">
      <text>
        <r>
          <rPr>
            <sz val="11"/>
            <color theme="1"/>
            <rFont val="Calibri"/>
            <family val="2"/>
            <scheme val="minor"/>
          </rPr>
          <t>IC 95% (2030): [0.5012 , 0.7811]
Modelo: Damped Holt (ETS A,Ad,N)
alpha=0.50, beta=0.30, phi=0.85</t>
        </r>
      </text>
    </comment>
    <comment ref="G43" authorId="1" shapeId="0" xr:uid="{00000000-0006-0000-0000-000092000000}">
      <text>
        <r>
          <rPr>
            <sz val="11"/>
            <color theme="1"/>
            <rFont val="Calibri"/>
            <family val="2"/>
            <scheme val="minor"/>
          </rPr>
          <t>IC 95% (2026): [0.5933 , 0.6927]
Modelo: Damped Holt (ETS A,Ad,N)
alpha=0.50, beta=0.30, phi=0.85</t>
        </r>
      </text>
    </comment>
    <comment ref="H43" authorId="1" shapeId="0" xr:uid="{00000000-0006-0000-0000-000093000000}">
      <text>
        <r>
          <rPr>
            <sz val="11"/>
            <color theme="1"/>
            <rFont val="Calibri"/>
            <family val="2"/>
            <scheme val="minor"/>
          </rPr>
          <t>IC 95% (2027): [0.5839 , 0.7091]
Modelo: Damped Holt (ETS A,Ad,N)
alpha=0.50, beta=0.30, phi=0.85</t>
        </r>
      </text>
    </comment>
    <comment ref="I43" authorId="1" shapeId="0" xr:uid="{00000000-0006-0000-0000-000094000000}">
      <text>
        <r>
          <rPr>
            <sz val="11"/>
            <color theme="1"/>
            <rFont val="Calibri"/>
            <family val="2"/>
            <scheme val="minor"/>
          </rPr>
          <t>IC 95% (2028): [0.5708 , 0.7280]
Modelo: Damped Holt (ETS A,Ad,N)
alpha=0.50, beta=0.30, phi=0.85</t>
        </r>
      </text>
    </comment>
    <comment ref="J43" authorId="1" shapeId="0" xr:uid="{00000000-0006-0000-0000-000095000000}">
      <text>
        <r>
          <rPr>
            <sz val="11"/>
            <color theme="1"/>
            <rFont val="Calibri"/>
            <family val="2"/>
            <scheme val="minor"/>
          </rPr>
          <t>IC 95% (2029): [0.5542 , 0.7487]
Modelo: Damped Holt (ETS A,Ad,N)
alpha=0.50, beta=0.30, phi=0.85</t>
        </r>
      </text>
    </comment>
    <comment ref="K43" authorId="1" shapeId="0" xr:uid="{00000000-0006-0000-0000-000096000000}">
      <text>
        <r>
          <rPr>
            <sz val="11"/>
            <color theme="1"/>
            <rFont val="Calibri"/>
            <family val="2"/>
            <scheme val="minor"/>
          </rPr>
          <t>IC 95% (2030): [0.5370 , 0.7705]
Modelo: Damped Holt (ETS A,Ad,N)
alpha=0.50, beta=0.30, phi=0.85</t>
        </r>
      </text>
    </comment>
    <comment ref="G44" authorId="1" shapeId="0" xr:uid="{00000000-0006-0000-0000-000097000000}">
      <text>
        <r>
          <rPr>
            <sz val="11"/>
            <color theme="1"/>
            <rFont val="Calibri"/>
            <family val="2"/>
            <scheme val="minor"/>
          </rPr>
          <t>IC 95% (2026): [0.5178 , 0.7647]
Modelo: Damped Holt (ETS A,Ad,N)
alpha=0.50, beta=0.30, phi=0.85</t>
        </r>
      </text>
    </comment>
    <comment ref="H44" authorId="1" shapeId="0" xr:uid="{00000000-0006-0000-0000-000098000000}">
      <text>
        <r>
          <rPr>
            <sz val="11"/>
            <color theme="1"/>
            <rFont val="Calibri"/>
            <family val="2"/>
            <scheme val="minor"/>
          </rPr>
          <t>IC 95% (2027): [0.4879 , 0.7955]
Modelo: Damped Holt (ETS A,Ad,N)
alpha=0.50, beta=0.30, phi=0.85</t>
        </r>
      </text>
    </comment>
    <comment ref="I44" authorId="1" shapeId="0" xr:uid="{00000000-0006-0000-0000-000099000000}">
      <text>
        <r>
          <rPr>
            <sz val="11"/>
            <color theme="1"/>
            <rFont val="Calibri"/>
            <family val="2"/>
            <scheme val="minor"/>
          </rPr>
          <t>IC 95% (2028): [0.4472 , 0.8361]
Modelo: Damped Holt (ETS A,Ad,N)
alpha=0.50, beta=0.30, phi=0.85</t>
        </r>
      </text>
    </comment>
    <comment ref="J44" authorId="1" shapeId="0" xr:uid="{00000000-0006-0000-0000-00009A000000}">
      <text>
        <r>
          <rPr>
            <sz val="11"/>
            <color theme="1"/>
            <rFont val="Calibri"/>
            <family val="2"/>
            <scheme val="minor"/>
          </rPr>
          <t>IC 95% (2029): [0.4024 , 0.8779]
Modelo: Damped Holt (ETS A,Ad,N)
alpha=0.50, beta=0.30, phi=0.85</t>
        </r>
      </text>
    </comment>
    <comment ref="K44" authorId="1" shapeId="0" xr:uid="{00000000-0006-0000-0000-00009B000000}">
      <text>
        <r>
          <rPr>
            <sz val="11"/>
            <color theme="1"/>
            <rFont val="Calibri"/>
            <family val="2"/>
            <scheme val="minor"/>
          </rPr>
          <t>IC 95% (2030): [0.3511 , 0.9249]
Modelo: Damped Holt (ETS A,Ad,N)
alpha=0.50, beta=0.30, phi=0.85</t>
        </r>
      </text>
    </comment>
    <comment ref="G45" authorId="1" shapeId="0" xr:uid="{00000000-0006-0000-0000-00009C000000}">
      <text>
        <r>
          <rPr>
            <sz val="11"/>
            <color theme="1"/>
            <rFont val="Calibri"/>
            <family val="2"/>
            <scheme val="minor"/>
          </rPr>
          <t>IC 95% (2026): [0.5787 , 0.6610]
Modelo: Damped Holt (ETS A,Ad,N)
alpha=0.50, beta=0.30, phi=0.85</t>
        </r>
      </text>
    </comment>
    <comment ref="H45" authorId="1" shapeId="0" xr:uid="{00000000-0006-0000-0000-00009D000000}">
      <text>
        <r>
          <rPr>
            <sz val="11"/>
            <color theme="1"/>
            <rFont val="Calibri"/>
            <family val="2"/>
            <scheme val="minor"/>
          </rPr>
          <t>IC 95% (2027): [0.5655 , 0.6716]
Modelo: Damped Holt (ETS A,Ad,N)
alpha=0.50, beta=0.30, phi=0.85</t>
        </r>
      </text>
    </comment>
    <comment ref="I45" authorId="1" shapeId="0" xr:uid="{00000000-0006-0000-0000-00009E000000}">
      <text>
        <r>
          <rPr>
            <sz val="11"/>
            <color theme="1"/>
            <rFont val="Calibri"/>
            <family val="2"/>
            <scheme val="minor"/>
          </rPr>
          <t>IC 95% (2028): [0.5534 , 0.6834]
Modelo: Damped Holt (ETS A,Ad,N)
alpha=0.50, beta=0.30, phi=0.85</t>
        </r>
      </text>
    </comment>
    <comment ref="J45" authorId="1" shapeId="0" xr:uid="{00000000-0006-0000-0000-00009F000000}">
      <text>
        <r>
          <rPr>
            <sz val="11"/>
            <color theme="1"/>
            <rFont val="Calibri"/>
            <family val="2"/>
            <scheme val="minor"/>
          </rPr>
          <t>IC 95% (2029): [0.5369 , 0.6990]
Modelo: Damped Holt (ETS A,Ad,N)
alpha=0.50, beta=0.30, phi=0.85</t>
        </r>
      </text>
    </comment>
    <comment ref="K45" authorId="1" shapeId="0" xr:uid="{00000000-0006-0000-0000-0000A0000000}">
      <text>
        <r>
          <rPr>
            <sz val="11"/>
            <color theme="1"/>
            <rFont val="Calibri"/>
            <family val="2"/>
            <scheme val="minor"/>
          </rPr>
          <t>IC 95% (2030): [0.5191 , 0.7144]
Modelo: Damped Holt (ETS A,Ad,N)
alpha=0.50, beta=0.30, phi=0.85</t>
        </r>
      </text>
    </comment>
    <comment ref="G46" authorId="1" shapeId="0" xr:uid="{00000000-0006-0000-0000-0000A1000000}">
      <text>
        <r>
          <rPr>
            <sz val="11"/>
            <color theme="1"/>
            <rFont val="Calibri"/>
            <family val="2"/>
            <scheme val="minor"/>
          </rPr>
          <t>IC 95% (2026): [0.5518 , 0.6511]
Modelo: Damped Holt (ETS A,Ad,N)
alpha=0.50, beta=0.30, phi=0.85</t>
        </r>
      </text>
    </comment>
    <comment ref="H46" authorId="1" shapeId="0" xr:uid="{00000000-0006-0000-0000-0000A2000000}">
      <text>
        <r>
          <rPr>
            <sz val="11"/>
            <color theme="1"/>
            <rFont val="Calibri"/>
            <family val="2"/>
            <scheme val="minor"/>
          </rPr>
          <t>IC 95% (2027): [0.5415 , 0.6655]
Modelo: Damped Holt (ETS A,Ad,N)
alpha=0.50, beta=0.30, phi=0.85</t>
        </r>
      </text>
    </comment>
    <comment ref="I46" authorId="1" shapeId="0" xr:uid="{00000000-0006-0000-0000-0000A3000000}">
      <text>
        <r>
          <rPr>
            <sz val="11"/>
            <color theme="1"/>
            <rFont val="Calibri"/>
            <family val="2"/>
            <scheme val="minor"/>
          </rPr>
          <t>IC 95% (2028): [0.5233 , 0.6832]
Modelo: Damped Holt (ETS A,Ad,N)
alpha=0.50, beta=0.30, phi=0.85</t>
        </r>
      </text>
    </comment>
    <comment ref="J46" authorId="1" shapeId="0" xr:uid="{00000000-0006-0000-0000-0000A4000000}">
      <text>
        <r>
          <rPr>
            <sz val="11"/>
            <color theme="1"/>
            <rFont val="Calibri"/>
            <family val="2"/>
            <scheme val="minor"/>
          </rPr>
          <t>IC 95% (2029): [0.5035 , 0.7019]
Modelo: Damped Holt (ETS A,Ad,N)
alpha=0.50, beta=0.30, phi=0.85</t>
        </r>
      </text>
    </comment>
    <comment ref="K46" authorId="1" shapeId="0" xr:uid="{00000000-0006-0000-0000-0000A5000000}">
      <text>
        <r>
          <rPr>
            <sz val="11"/>
            <color theme="1"/>
            <rFont val="Calibri"/>
            <family val="2"/>
            <scheme val="minor"/>
          </rPr>
          <t>IC 95% (2030): [0.4802 , 0.7230]
Modelo: Damped Holt (ETS A,Ad,N)
alpha=0.50, beta=0.30, phi=0.85</t>
        </r>
      </text>
    </comment>
    <comment ref="G47" authorId="1" shapeId="0" xr:uid="{00000000-0006-0000-0000-0000A6000000}">
      <text>
        <r>
          <rPr>
            <sz val="11"/>
            <color theme="1"/>
            <rFont val="Calibri"/>
            <family val="2"/>
            <scheme val="minor"/>
          </rPr>
          <t>IC 95% (2026): [0.5332 , 0.6096]
Modelo: Damped Holt (ETS A,Ad,N)
alpha=0.50, beta=0.30, phi=0.85</t>
        </r>
      </text>
    </comment>
    <comment ref="H47" authorId="1" shapeId="0" xr:uid="{00000000-0006-0000-0000-0000A7000000}">
      <text>
        <r>
          <rPr>
            <sz val="11"/>
            <color theme="1"/>
            <rFont val="Calibri"/>
            <family val="2"/>
            <scheme val="minor"/>
          </rPr>
          <t>IC 95% (2027): [0.5258 , 0.6215]
Modelo: Damped Holt (ETS A,Ad,N)
alpha=0.50, beta=0.30, phi=0.85</t>
        </r>
      </text>
    </comment>
    <comment ref="I47" authorId="1" shapeId="0" xr:uid="{00000000-0006-0000-0000-0000A8000000}">
      <text>
        <r>
          <rPr>
            <sz val="11"/>
            <color theme="1"/>
            <rFont val="Calibri"/>
            <family val="2"/>
            <scheme val="minor"/>
          </rPr>
          <t>IC 95% (2028): [0.5141 , 0.6353]
Modelo: Damped Holt (ETS A,Ad,N)
alpha=0.50, beta=0.30, phi=0.85</t>
        </r>
      </text>
    </comment>
    <comment ref="J47" authorId="1" shapeId="0" xr:uid="{00000000-0006-0000-0000-0000A9000000}">
      <text>
        <r>
          <rPr>
            <sz val="11"/>
            <color theme="1"/>
            <rFont val="Calibri"/>
            <family val="2"/>
            <scheme val="minor"/>
          </rPr>
          <t>IC 95% (2029): [0.5010 , 0.6493]
Modelo: Damped Holt (ETS A,Ad,N)
alpha=0.50, beta=0.30, phi=0.85</t>
        </r>
      </text>
    </comment>
    <comment ref="K47" authorId="1" shapeId="0" xr:uid="{00000000-0006-0000-0000-0000AA000000}">
      <text>
        <r>
          <rPr>
            <sz val="11"/>
            <color theme="1"/>
            <rFont val="Calibri"/>
            <family val="2"/>
            <scheme val="minor"/>
          </rPr>
          <t>IC 95% (2030): [0.4871 , 0.6641]
Modelo: Damped Holt (ETS A,Ad,N)
alpha=0.50, beta=0.30, phi=0.85</t>
        </r>
      </text>
    </comment>
    <comment ref="G48" authorId="1" shapeId="0" xr:uid="{00000000-0006-0000-0000-0000AB000000}">
      <text>
        <r>
          <rPr>
            <sz val="11"/>
            <color theme="1"/>
            <rFont val="Calibri"/>
            <family val="2"/>
            <scheme val="minor"/>
          </rPr>
          <t>IC 95% (2026): [0.5185 , 0.5614]
Modelo: Damped Holt (ETS A,Ad,N)
alpha=0.10, beta=0.01, phi=0.85</t>
        </r>
      </text>
    </comment>
    <comment ref="H48" authorId="1" shapeId="0" xr:uid="{00000000-0006-0000-0000-0000AC000000}">
      <text>
        <r>
          <rPr>
            <sz val="11"/>
            <color theme="1"/>
            <rFont val="Calibri"/>
            <family val="2"/>
            <scheme val="minor"/>
          </rPr>
          <t>IC 95% (2027): [0.5271 , 0.5697]
Modelo: Damped Holt (ETS A,Ad,N)
alpha=0.10, beta=0.01, phi=0.85</t>
        </r>
      </text>
    </comment>
    <comment ref="I48" authorId="1" shapeId="0" xr:uid="{00000000-0006-0000-0000-0000AD000000}">
      <text>
        <r>
          <rPr>
            <sz val="11"/>
            <color theme="1"/>
            <rFont val="Calibri"/>
            <family val="2"/>
            <scheme val="minor"/>
          </rPr>
          <t>IC 95% (2028): [0.5335 , 0.5769]
Modelo: Damped Holt (ETS A,Ad,N)
alpha=0.10, beta=0.01, phi=0.85</t>
        </r>
      </text>
    </comment>
    <comment ref="J48" authorId="1" shapeId="0" xr:uid="{00000000-0006-0000-0000-0000AE000000}">
      <text>
        <r>
          <rPr>
            <sz val="11"/>
            <color theme="1"/>
            <rFont val="Calibri"/>
            <family val="2"/>
            <scheme val="minor"/>
          </rPr>
          <t>IC 95% (2029): [0.5395 , 0.5833]
Modelo: Damped Holt (ETS A,Ad,N)
alpha=0.10, beta=0.01, phi=0.85</t>
        </r>
      </text>
    </comment>
    <comment ref="K48" authorId="1" shapeId="0" xr:uid="{00000000-0006-0000-0000-0000AF000000}">
      <text>
        <r>
          <rPr>
            <sz val="11"/>
            <color theme="1"/>
            <rFont val="Calibri"/>
            <family val="2"/>
            <scheme val="minor"/>
          </rPr>
          <t>IC 95% (2030): [0.5444 , 0.5885]
Modelo: Damped Holt (ETS A,Ad,N)
alpha=0.10, beta=0.01, phi=0.85</t>
        </r>
      </text>
    </comment>
    <comment ref="G49" authorId="1" shapeId="0" xr:uid="{00000000-0006-0000-0000-0000B0000000}">
      <text>
        <r>
          <rPr>
            <sz val="11"/>
            <color theme="1"/>
            <rFont val="Calibri"/>
            <family val="2"/>
            <scheme val="minor"/>
          </rPr>
          <t>IC 95% (2026): [0.4136 , 0.6085]
Modelo: Damped Holt (ETS A,Ad,N)
alpha=0.50, beta=0.30, phi=0.85</t>
        </r>
      </text>
    </comment>
    <comment ref="H49" authorId="1" shapeId="0" xr:uid="{00000000-0006-0000-0000-0000B1000000}">
      <text>
        <r>
          <rPr>
            <sz val="11"/>
            <color theme="1"/>
            <rFont val="Calibri"/>
            <family val="2"/>
            <scheme val="minor"/>
          </rPr>
          <t>IC 95% (2027): [0.3961 , 0.6356]
Modelo: Damped Holt (ETS A,Ad,N)
alpha=0.50, beta=0.30, phi=0.85</t>
        </r>
      </text>
    </comment>
    <comment ref="I49" authorId="1" shapeId="0" xr:uid="{00000000-0006-0000-0000-0000B2000000}">
      <text>
        <r>
          <rPr>
            <sz val="11"/>
            <color theme="1"/>
            <rFont val="Calibri"/>
            <family val="2"/>
            <scheme val="minor"/>
          </rPr>
          <t>IC 95% (2028): [0.3657 , 0.6751]
Modelo: Damped Holt (ETS A,Ad,N)
alpha=0.50, beta=0.30, phi=0.85</t>
        </r>
      </text>
    </comment>
    <comment ref="J49" authorId="1" shapeId="0" xr:uid="{00000000-0006-0000-0000-0000B3000000}">
      <text>
        <r>
          <rPr>
            <sz val="11"/>
            <color theme="1"/>
            <rFont val="Calibri"/>
            <family val="2"/>
            <scheme val="minor"/>
          </rPr>
          <t>IC 95% (2029): [0.3352 , 0.7120]
Modelo: Damped Holt (ETS A,Ad,N)
alpha=0.50, beta=0.30, phi=0.85</t>
        </r>
      </text>
    </comment>
    <comment ref="K49" authorId="1" shapeId="0" xr:uid="{00000000-0006-0000-0000-0000B4000000}">
      <text>
        <r>
          <rPr>
            <sz val="11"/>
            <color theme="1"/>
            <rFont val="Calibri"/>
            <family val="2"/>
            <scheme val="minor"/>
          </rPr>
          <t>IC 95% (2030): [0.2999 , 0.7533]
Modelo: Damped Holt (ETS A,Ad,N)
alpha=0.50, beta=0.30, phi=0.85</t>
        </r>
      </text>
    </comment>
    <comment ref="G50" authorId="1" shapeId="0" xr:uid="{00000000-0006-0000-0000-0000B5000000}">
      <text>
        <r>
          <rPr>
            <sz val="11"/>
            <color theme="1"/>
            <rFont val="Calibri"/>
            <family val="2"/>
            <scheme val="minor"/>
          </rPr>
          <t>IC 95% (2026): [0.4604 , 0.5149]
Modelo: Damped Holt (ETS A,Ad,N)
alpha=0.50, beta=0.30, phi=0.85</t>
        </r>
      </text>
    </comment>
    <comment ref="H50" authorId="1" shapeId="0" xr:uid="{00000000-0006-0000-0000-0000B6000000}">
      <text>
        <r>
          <rPr>
            <sz val="11"/>
            <color theme="1"/>
            <rFont val="Calibri"/>
            <family val="2"/>
            <scheme val="minor"/>
          </rPr>
          <t>IC 95% (2027): [0.4571 , 0.5255]
Modelo: Damped Holt (ETS A,Ad,N)
alpha=0.50, beta=0.30, phi=0.85</t>
        </r>
      </text>
    </comment>
    <comment ref="I50" authorId="1" shapeId="0" xr:uid="{00000000-0006-0000-0000-0000B7000000}">
      <text>
        <r>
          <rPr>
            <sz val="11"/>
            <color theme="1"/>
            <rFont val="Calibri"/>
            <family val="2"/>
            <scheme val="minor"/>
          </rPr>
          <t>IC 95% (2028): [0.4514 , 0.5386]
Modelo: Damped Holt (ETS A,Ad,N)
alpha=0.50, beta=0.30, phi=0.85</t>
        </r>
      </text>
    </comment>
    <comment ref="J50" authorId="1" shapeId="0" xr:uid="{00000000-0006-0000-0000-0000B8000000}">
      <text>
        <r>
          <rPr>
            <sz val="11"/>
            <color theme="1"/>
            <rFont val="Calibri"/>
            <family val="2"/>
            <scheme val="minor"/>
          </rPr>
          <t>IC 95% (2029): [0.4436 , 0.5505]
Modelo: Damped Holt (ETS A,Ad,N)
alpha=0.50, beta=0.30, phi=0.85</t>
        </r>
      </text>
    </comment>
    <comment ref="K50" authorId="1" shapeId="0" xr:uid="{00000000-0006-0000-0000-0000B9000000}">
      <text>
        <r>
          <rPr>
            <sz val="11"/>
            <color theme="1"/>
            <rFont val="Calibri"/>
            <family val="2"/>
            <scheme val="minor"/>
          </rPr>
          <t>IC 95% (2030): [0.4358 , 0.5651]
Modelo: Damped Holt (ETS A,Ad,N)
alpha=0.50, beta=0.30, phi=0.85</t>
        </r>
      </text>
    </comment>
    <comment ref="G51" authorId="1" shapeId="0" xr:uid="{00000000-0006-0000-0000-0000BA000000}">
      <text>
        <r>
          <rPr>
            <sz val="11"/>
            <color theme="1"/>
            <rFont val="Calibri"/>
            <family val="2"/>
            <scheme val="minor"/>
          </rPr>
          <t>IC 95% (2026): [0.3864 , 0.5442]
Modelo: Damped Holt (ETS A,Ad,N)
alpha=0.50, beta=0.30, phi=0.85</t>
        </r>
      </text>
    </comment>
    <comment ref="H51" authorId="1" shapeId="0" xr:uid="{00000000-0006-0000-0000-0000BB000000}">
      <text>
        <r>
          <rPr>
            <sz val="11"/>
            <color theme="1"/>
            <rFont val="Calibri"/>
            <family val="2"/>
            <scheme val="minor"/>
          </rPr>
          <t>IC 95% (2027): [0.3640 , 0.5647]
Modelo: Damped Holt (ETS A,Ad,N)
alpha=0.50, beta=0.30, phi=0.85</t>
        </r>
      </text>
    </comment>
    <comment ref="I51" authorId="1" shapeId="0" xr:uid="{00000000-0006-0000-0000-0000BC000000}">
      <text>
        <r>
          <rPr>
            <sz val="11"/>
            <color theme="1"/>
            <rFont val="Calibri"/>
            <family val="2"/>
            <scheme val="minor"/>
          </rPr>
          <t>IC 95% (2028): [0.3368 , 0.5908]
Modelo: Damped Holt (ETS A,Ad,N)
alpha=0.50, beta=0.30, phi=0.85</t>
        </r>
      </text>
    </comment>
    <comment ref="J51" authorId="1" shapeId="0" xr:uid="{00000000-0006-0000-0000-0000BD000000}">
      <text>
        <r>
          <rPr>
            <sz val="11"/>
            <color theme="1"/>
            <rFont val="Calibri"/>
            <family val="2"/>
            <scheme val="minor"/>
          </rPr>
          <t>IC 95% (2029): [0.3110 , 0.6177]
Modelo: Damped Holt (ETS A,Ad,N)
alpha=0.50, beta=0.30, phi=0.85</t>
        </r>
      </text>
    </comment>
    <comment ref="K51" authorId="1" shapeId="0" xr:uid="{00000000-0006-0000-0000-0000BE000000}">
      <text>
        <r>
          <rPr>
            <sz val="11"/>
            <color theme="1"/>
            <rFont val="Calibri"/>
            <family val="2"/>
            <scheme val="minor"/>
          </rPr>
          <t>IC 95% (2030): [0.2743 , 0.6504]
Modelo: Damped Holt (ETS A,Ad,N)
alpha=0.50, beta=0.30, phi=0.85</t>
        </r>
      </text>
    </comment>
  </commentList>
</comments>
</file>

<file path=xl/sharedStrings.xml><?xml version="1.0" encoding="utf-8"?>
<sst xmlns="http://schemas.openxmlformats.org/spreadsheetml/2006/main" count="73" uniqueCount="73">
  <si>
    <t>Digital Quality of Life Index | Panel OCDE y Colombia con pronóstico a 2030</t>
  </si>
  <si>
    <t xml:space="preserve">Serie oficial 2022–2025 y proyección econométrica 2026–2030 · </t>
  </si>
  <si>
    <t>PAÍSES OCDE CON DATOS</t>
  </si>
  <si>
    <t>COLOMBIA DQL 2025</t>
  </si>
  <si>
    <t>COLOMBIA PRONÓSTICO 2030</t>
  </si>
  <si>
    <t>PROMEDIO OCDE 2030</t>
  </si>
  <si>
    <t>BRECHA COLOMBIA–OCDE 2030</t>
  </si>
  <si>
    <t>DATOS HISTÓRICOS OFICIALES</t>
  </si>
  <si>
    <t>PRONÓSTICO ECONOMÉTRICO</t>
  </si>
  <si>
    <t>Índice DQL por país miembro de la OCDE</t>
  </si>
  <si>
    <t>País</t>
  </si>
  <si>
    <t>Ranking 2025</t>
  </si>
  <si>
    <t>DQL 2022</t>
  </si>
  <si>
    <t>DQL 2023</t>
  </si>
  <si>
    <t>DQL 2024</t>
  </si>
  <si>
    <t>DQL 2025</t>
  </si>
  <si>
    <t>DQL 2026 (pron.)</t>
  </si>
  <si>
    <t>DQL 2027 (pron.)</t>
  </si>
  <si>
    <t>DQL 2028 (pron.)</t>
  </si>
  <si>
    <t>DQL 2029 (pron.)</t>
  </si>
  <si>
    <t>DQL 2030 (pron.)</t>
  </si>
  <si>
    <t>Finland</t>
  </si>
  <si>
    <t>Germany</t>
  </si>
  <si>
    <t>Denmark</t>
  </si>
  <si>
    <t>Switzerland</t>
  </si>
  <si>
    <t>France</t>
  </si>
  <si>
    <t>Netherlands</t>
  </si>
  <si>
    <t>Austria</t>
  </si>
  <si>
    <t>Luxembourg</t>
  </si>
  <si>
    <t>South Korea</t>
  </si>
  <si>
    <t>Estonia</t>
  </si>
  <si>
    <t>Sweden</t>
  </si>
  <si>
    <t>United States</t>
  </si>
  <si>
    <t>Japan</t>
  </si>
  <si>
    <t>Norway</t>
  </si>
  <si>
    <t>Israel</t>
  </si>
  <si>
    <t>United Kingdom</t>
  </si>
  <si>
    <t>Spain</t>
  </si>
  <si>
    <t>Lithuania</t>
  </si>
  <si>
    <t>Canada</t>
  </si>
  <si>
    <t>Belgium</t>
  </si>
  <si>
    <t>Poland</t>
  </si>
  <si>
    <t>Czechia</t>
  </si>
  <si>
    <t>Ireland</t>
  </si>
  <si>
    <t>Portugal</t>
  </si>
  <si>
    <t>Latvia</t>
  </si>
  <si>
    <t>Italy</t>
  </si>
  <si>
    <t>New Zealand</t>
  </si>
  <si>
    <t>Slovakia</t>
  </si>
  <si>
    <t>Slovenia</t>
  </si>
  <si>
    <t>Australia</t>
  </si>
  <si>
    <t>Hungary</t>
  </si>
  <si>
    <t>Greece</t>
  </si>
  <si>
    <t>Chile</t>
  </si>
  <si>
    <t>Turkey</t>
  </si>
  <si>
    <t>Colombia</t>
  </si>
  <si>
    <t>Costa Rica</t>
  </si>
  <si>
    <t>Mexico</t>
  </si>
  <si>
    <t>NOTAS METODOLÓGICAS DEL PRONÓSTICO</t>
  </si>
  <si>
    <t>1. Técnica utilizada</t>
  </si>
  <si>
    <t>Suavizamiento exponencial de tendencia amortiguada (Damped Trend Exponential Smoothing), equivalente al modelo de espacio de estados ETS(A,Ad,N) de Hyndman et al. Es el método recomendado en la literatura de pronóstico cuando se dispone de series muy cortas (aquí, 4 observaciones anuales: 2022–2025), porque evita la extrapolación lineal pura y regulariza la tendencia estimada, reduciendo el riesgo de sobreajuste.</t>
  </si>
  <si>
    <t>2. Por qué no una regresión lineal simple</t>
  </si>
  <si>
    <t>Con solo 4 puntos, una recta ajustada por MCO extrapola el ruido de los últimos años como si fuera una tendencia estructural permanente, lo que sobreestima o subestima sistemáticamente el valor a 5 años. El componente de amortiguamiento (parámetro phi) hace que el crecimiento/decrecimiento se module con el horizonte (peso phi^h decreciente), generando una trayectoria cóncava y no una línea recta, consistente con la evidencia empírica de que las tendencias rara vez se mantienen constantes indefinidamente (Gardner &amp; McKenzie, 1985).</t>
  </si>
  <si>
    <t>3. Especificación del modelo</t>
  </si>
  <si>
    <t>Nivel: l_t = l_(t-1) + phi·b_(t-1) + alpha·e_t
Tendencia: b_t = phi·b_(t-1) + beta·e_t
Pronóstico h pasos adelante: ŷ(T+h) = l_T + b_T·Σ(phi^i), i=1..h
El pronóstico converge a una asíntota de crecimiento (l_T + b_T·phi/(1-phi)) en vez de crecer sin límite, lo que es apropiado para un índice acotado entre 0 y 1.</t>
  </si>
  <si>
    <t>4. Elección de parámetros (alpha, beta, phi)</t>
  </si>
  <si>
    <t>Dado que estimar los tres parámetros de suavizamiento por máxima verosimilitud con apenas 4 observaciones produce soluciones de frontera no confiables (alpha y beta convergen a 0.99, sobreajustando el único salto 2024→2025), se acotaron los parámetros a rangos recomendados en la literatura para series cortas y ruidosas: alpha ∈ [0.10, 0.50], beta ∈ [0.01, 0.30], phi ∈ [0.85, 0.95]. Dentro de estos rangos se optimizó el error cuadrático de pronóstico a un paso (SSE). Este tipo de restricción a priori es una práctica estándar cuando el tamaño de muestra es insuficiente para una estimación libre confiable (Hyndman &amp; Athanasopoulos, 'Forecasting: Principles and Practice', cap. 8).</t>
  </si>
  <si>
    <t>5. Parámetros finales estimados</t>
  </si>
  <si>
    <t>Colombia: alpha = 0.50, beta = 0.30, phi = 0.85, nivel final = 0.5088, tendencia final = 0.0051/año.
Promedio OCDE: alpha = 0.50, beta = 0.30, phi = 0.85, nivel final = 0.6693, tendencia final = 0.0008/año.</t>
  </si>
  <si>
    <t>6. Intervalos de confianza</t>
  </si>
  <si>
    <t>Los intervalos de confianza al 95% se obtuvieron por simulación de innovaciones (bootstrap paramétrico del modelo de espacio de estados): se generaron 20,000 trayectorias futuras añadiendo choques aleatorios e_t ~ N(0, σ²) en cada paso de las ecuaciones de nivel y tendencia, y se tomaron los percentiles 2.5 y 97.5 de la distribución resultante en cada año. σ² se calculó a partir de los residuos de ajuste dentro de muestra con corrección por grados de libertad (n−2). Este enfoque —estándar en el marco de espacio de estados de Hyndman, Koehler, Ord &amp; Snyder (2008, 'Forecasting with Exponential Smoothing: The State Space Approach')— genera bandas de confianza que se ensanchan con el horizonte, reflejando la mayor incertidumbre a 2030 frente a 2026.</t>
  </si>
  <si>
    <t>7. Limitaciones</t>
  </si>
  <si>
    <t>Con solo 4 años de historia, ningún método econométrico puede estimar los parámetros con precisión estadística alta; los intervalos de confianza aquí reportados son necesariamente amplios (ver bandas grises en el gráfico) y deben interpretarse como un rango plausible, no como una predicción puntual precisa. Se recomienda actualizar el pronóstico cada vez que la OCDE publique un nuevo año de datos, lo que permitirá relajar las restricciones impuestas a alpha y beta y reestimarlas libremente.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</si>
</sst>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8"/>
      <color rgb="FFFFFFFF"/>
      <name val="Aptos Display"/>
    </font>
    <font>
      <i/>
      <sz val="11"/>
      <color rgb="FF64748B"/>
      <name val="Aptos"/>
    </font>
    <font>
      <b/>
      <sz val="9"/>
      <color rgb="FFFFFFFF"/>
      <name val="Aptos"/>
    </font>
    <font>
      <b/>
      <sz val="16"/>
      <color rgb="FFFFFFFF"/>
      <name val="Aptos Display"/>
    </font>
    <font>
      <b/>
      <sz val="11"/>
      <color rgb="FFFFFFFF"/>
      <name val="Calibri"/>
    </font>
    <font>
      <b/>
      <sz val="13"/>
      <color rgb="FF1F2937"/>
      <name val="Aptos Display"/>
    </font>
    <font>
      <sz val="9"/>
      <color rgb="FF1F2937"/>
      <name val="Aptos"/>
    </font>
    <font>
      <sz val="9"/>
      <color rgb="FF008000"/>
      <name val="Aptos"/>
    </font>
    <font>
      <b/>
      <sz val="9"/>
      <color rgb="FF1F2937"/>
      <name val="Aptos"/>
    </font>
    <font>
      <i/>
      <sz val="9"/>
      <color rgb="FF64748B"/>
      <name val="Aptos"/>
    </font>
    <font>
      <b/>
      <sz val="13"/>
      <color rgb="FF1F4E78"/>
      <name val="Calibri"/>
    </font>
    <font>
      <i/>
      <sz val="11"/>
      <color rgb="FF1F4E78"/>
      <name val="Calibri"/>
    </font>
    <font>
      <b/>
      <sz val="12"/>
      <color rgb="FF1F4E78"/>
      <name val="Calibri"/>
    </font>
    <font>
      <b/>
      <sz val="10.5"/>
      <color rgb="FF1F4E78"/>
      <name val="Calibri"/>
    </font>
    <font>
      <sz val="10"/>
      <name val="Calibri"/>
    </font>
    <font>
      <b/>
      <sz val="11"/>
      <color rgb="FFFFFFFF"/>
      <name val="Calibri"/>
    </font>
  </fonts>
  <fills count="12">
    <fill>
      <patternFill patternType="none"/>
    </fill>
    <fill>
      <patternFill patternType="gray125"/>
    </fill>
    <fill>
      <patternFill patternType="solid">
        <fgColor rgb="FF123B5D"/>
      </patternFill>
    </fill>
    <fill>
      <patternFill patternType="solid">
        <fgColor rgb="FF1F6E8C"/>
      </patternFill>
    </fill>
    <fill>
      <patternFill patternType="solid">
        <fgColor rgb="FF2A9D8F"/>
      </patternFill>
    </fill>
    <fill>
      <patternFill patternType="solid">
        <fgColor rgb="FF665191"/>
      </patternFill>
    </fill>
    <fill>
      <patternFill patternType="solid">
        <fgColor rgb="FFF4A261"/>
      </patternFill>
    </fill>
    <fill>
      <patternFill patternType="solid">
        <fgColor rgb="FFEAF3F8"/>
      </patternFill>
    </fill>
    <fill>
      <patternFill patternType="solid">
        <fgColor rgb="FFDDF3EF"/>
      </patternFill>
    </fill>
    <fill>
      <patternFill patternType="solid">
        <fgColor rgb="FFF3F6F8"/>
      </patternFill>
    </fill>
    <fill>
      <patternFill patternType="solid">
        <fgColor rgb="FFFFF9E6"/>
      </patternFill>
    </fill>
    <fill>
      <patternFill patternType="solid">
        <fgColor rgb="FF6B5B95"/>
      </patternFill>
    </fill>
  </fills>
  <borders count="1">
    <border>
      <left/>
      <right/>
      <top/>
      <bottom/>
      <diagonal/>
    </border>
  </borders>
  <cellStyleXfs count="1">
    <xf numFmtId="0" fontId="0" fillId="0" borderId="0"/>
  </cellStyleXfs>
  <cellXfs count="34">
    <xf numFmtId="0" fontId="0" fillId="0" borderId="0" xfId="0"/>
    <xf numFmtId="0" fontId="5" fillId="3" borderId="0" xfId="0" applyFont="1" applyFill="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center" vertical="center"/>
    </xf>
    <xf numFmtId="164" fontId="8" fillId="0" borderId="0" xfId="0" applyNumberFormat="1" applyFont="1" applyAlignment="1">
      <alignment horizontal="center" vertical="center"/>
    </xf>
    <xf numFmtId="0" fontId="9" fillId="8" borderId="0" xfId="0" applyFont="1" applyFill="1" applyAlignment="1">
      <alignment horizontal="left" vertical="center"/>
    </xf>
    <xf numFmtId="0" fontId="9" fillId="8" borderId="0" xfId="0" applyFont="1" applyFill="1" applyAlignment="1">
      <alignment horizontal="center" vertical="center"/>
    </xf>
    <xf numFmtId="164" fontId="9" fillId="8" borderId="0" xfId="0" applyNumberFormat="1" applyFont="1" applyFill="1" applyAlignment="1">
      <alignment horizontal="center" vertical="center"/>
    </xf>
    <xf numFmtId="0" fontId="10" fillId="9" borderId="0" xfId="0" applyFont="1" applyFill="1" applyAlignment="1">
      <alignment horizontal="left" vertical="center"/>
    </xf>
    <xf numFmtId="0" fontId="10" fillId="9" borderId="0" xfId="0" applyFont="1" applyFill="1" applyAlignment="1">
      <alignment horizontal="center" vertical="center"/>
    </xf>
    <xf numFmtId="164" fontId="10" fillId="9" borderId="0" xfId="0" applyNumberFormat="1" applyFont="1" applyFill="1" applyAlignment="1">
      <alignment horizontal="center" vertical="center"/>
    </xf>
    <xf numFmtId="0" fontId="11" fillId="0" borderId="0" xfId="0" applyFont="1"/>
    <xf numFmtId="0" fontId="13" fillId="0" borderId="0" xfId="0" applyFont="1"/>
    <xf numFmtId="0" fontId="14" fillId="0" borderId="0" xfId="0" applyFont="1"/>
    <xf numFmtId="0" fontId="16" fillId="11" borderId="0" xfId="0" applyFont="1" applyFill="1" applyAlignment="1">
      <alignment horizontal="center" vertical="center" wrapText="1"/>
    </xf>
    <xf numFmtId="164" fontId="12" fillId="7" borderId="0" xfId="0" applyNumberFormat="1" applyFont="1" applyFill="1" applyAlignment="1">
      <alignment horizontal="center" vertical="center"/>
    </xf>
    <xf numFmtId="164" fontId="12" fillId="8" borderId="0" xfId="0" applyNumberFormat="1" applyFont="1" applyFill="1" applyAlignment="1">
      <alignment horizontal="center" vertical="center"/>
    </xf>
    <xf numFmtId="164" fontId="4" fillId="4" borderId="0" xfId="0" applyNumberFormat="1" applyFont="1" applyFill="1" applyAlignment="1">
      <alignment horizontal="center" vertical="center"/>
    </xf>
    <xf numFmtId="0" fontId="0" fillId="0" borderId="0" xfId="0"/>
    <xf numFmtId="0" fontId="3" fillId="4" borderId="0" xfId="0" applyFont="1" applyFill="1" applyAlignment="1">
      <alignment horizontal="center" vertical="center"/>
    </xf>
    <xf numFmtId="0" fontId="6" fillId="0" borderId="0" xfId="0" applyFont="1"/>
    <xf numFmtId="0" fontId="3" fillId="5" borderId="0" xfId="0" applyFont="1" applyFill="1" applyAlignment="1">
      <alignment horizontal="center" vertical="center"/>
    </xf>
    <xf numFmtId="0" fontId="1" fillId="2" borderId="0" xfId="0" applyFont="1" applyFill="1" applyAlignment="1">
      <alignment horizontal="left" vertical="center"/>
    </xf>
    <xf numFmtId="0" fontId="4" fillId="3" borderId="0" xfId="0" applyFont="1" applyFill="1" applyAlignment="1">
      <alignment horizontal="center" vertical="center"/>
    </xf>
    <xf numFmtId="0" fontId="3" fillId="6" borderId="0" xfId="0" applyFont="1" applyFill="1" applyAlignment="1">
      <alignment horizontal="center" vertical="center"/>
    </xf>
    <xf numFmtId="0" fontId="15" fillId="10" borderId="0" xfId="0" applyFont="1" applyFill="1" applyAlignment="1">
      <alignment horizontal="left" vertical="top" wrapText="1"/>
    </xf>
    <xf numFmtId="164" fontId="4" fillId="2" borderId="0" xfId="0" applyNumberFormat="1" applyFont="1" applyFill="1" applyAlignment="1">
      <alignment horizontal="center" vertical="center"/>
    </xf>
    <xf numFmtId="164" fontId="4" fillId="5" borderId="0" xfId="0" applyNumberFormat="1" applyFont="1" applyFill="1" applyAlignment="1">
      <alignment horizontal="center" vertical="center"/>
    </xf>
    <xf numFmtId="0" fontId="2" fillId="0" borderId="0" xfId="0" applyFont="1" applyAlignment="1">
      <alignment horizontal="left"/>
    </xf>
    <xf numFmtId="0" fontId="5" fillId="3" borderId="0" xfId="0" applyFont="1" applyFill="1" applyAlignment="1">
      <alignment horizontal="center"/>
    </xf>
    <xf numFmtId="0" fontId="3" fillId="3" borderId="0" xfId="0" applyFont="1" applyFill="1" applyAlignment="1">
      <alignment horizontal="center" vertical="center"/>
    </xf>
    <xf numFmtId="0" fontId="3" fillId="2" borderId="0" xfId="0" applyFont="1" applyFill="1" applyAlignment="1">
      <alignment horizontal="center" vertical="center"/>
    </xf>
    <xf numFmtId="164" fontId="4" fillId="6" borderId="0" xfId="0" applyNumberFormat="1" applyFont="1" applyFill="1" applyAlignment="1">
      <alignment horizontal="center" vertical="center"/>
    </xf>
    <xf numFmtId="0" fontId="5"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7"/>
  <sheetViews>
    <sheetView showGridLines="0" tabSelected="1" topLeftCell="A98" zoomScale="41" zoomScaleNormal="41" workbookViewId="0">
      <selection activeCell="K62" sqref="K62"/>
    </sheetView>
  </sheetViews>
  <sheetFormatPr baseColWidth="10" defaultColWidth="9.140625" defaultRowHeight="15" x14ac:dyDescent="0.25"/>
  <cols>
    <col min="1" max="1" width="10" customWidth="1"/>
    <col min="2" max="6" width="16" customWidth="1"/>
    <col min="7" max="11" width="15" customWidth="1"/>
  </cols>
  <sheetData>
    <row r="1" spans="1:11" ht="32.1" customHeight="1" x14ac:dyDescent="0.25">
      <c r="A1" s="22" t="s">
        <v>0</v>
      </c>
      <c r="B1" s="18"/>
      <c r="C1" s="18"/>
      <c r="D1" s="18"/>
      <c r="E1" s="18"/>
      <c r="F1" s="18"/>
      <c r="G1" s="18"/>
      <c r="H1" s="18"/>
      <c r="I1" s="18"/>
      <c r="J1" s="18"/>
      <c r="K1" s="18"/>
    </row>
    <row r="2" spans="1:11" ht="20.100000000000001" customHeight="1" x14ac:dyDescent="0.25"/>
    <row r="3" spans="1:11" ht="24" customHeight="1" x14ac:dyDescent="0.25">
      <c r="A3" s="28" t="s">
        <v>1</v>
      </c>
      <c r="B3" s="18"/>
      <c r="C3" s="18"/>
      <c r="D3" s="18"/>
      <c r="E3" s="18"/>
      <c r="F3" s="18"/>
      <c r="G3" s="18"/>
      <c r="H3" s="18"/>
      <c r="I3" s="18"/>
      <c r="J3" s="18"/>
      <c r="K3" s="18"/>
    </row>
    <row r="4" spans="1:11" ht="20.100000000000001" customHeight="1" x14ac:dyDescent="0.25"/>
    <row r="5" spans="1:11" ht="24.95" customHeight="1" x14ac:dyDescent="0.25">
      <c r="A5" s="30" t="s">
        <v>2</v>
      </c>
      <c r="B5" s="18"/>
      <c r="C5" s="19" t="s">
        <v>3</v>
      </c>
      <c r="D5" s="18"/>
      <c r="E5" s="21" t="s">
        <v>4</v>
      </c>
      <c r="F5" s="18"/>
      <c r="G5" s="31" t="s">
        <v>5</v>
      </c>
      <c r="H5" s="18"/>
      <c r="I5" s="24" t="s">
        <v>6</v>
      </c>
      <c r="J5" s="18"/>
      <c r="K5" s="18"/>
    </row>
    <row r="6" spans="1:11" ht="36" customHeight="1" x14ac:dyDescent="0.25">
      <c r="A6" s="23">
        <v>37</v>
      </c>
      <c r="B6" s="18"/>
      <c r="C6" s="17">
        <v>0.4778</v>
      </c>
      <c r="D6" s="18"/>
      <c r="E6" s="27">
        <v>0.52490000000000003</v>
      </c>
      <c r="F6" s="18"/>
      <c r="G6" s="26">
        <v>0.67190000000000005</v>
      </c>
      <c r="H6" s="18"/>
      <c r="I6" s="32">
        <v>-0.1469</v>
      </c>
      <c r="J6" s="18"/>
      <c r="K6" s="18"/>
    </row>
    <row r="7" spans="1:11" ht="20.100000000000001" customHeight="1" x14ac:dyDescent="0.25"/>
    <row r="8" spans="1:11" ht="20.100000000000001" customHeight="1" x14ac:dyDescent="0.25"/>
    <row r="9" spans="1:11" ht="20.100000000000001" customHeight="1" x14ac:dyDescent="0.25">
      <c r="A9" s="29" t="s">
        <v>7</v>
      </c>
      <c r="B9" s="18"/>
      <c r="C9" s="18"/>
      <c r="D9" s="18"/>
      <c r="E9" s="18"/>
      <c r="F9" s="18"/>
      <c r="G9" s="33" t="s">
        <v>8</v>
      </c>
      <c r="H9" s="18"/>
      <c r="I9" s="18"/>
      <c r="J9" s="18"/>
      <c r="K9" s="18"/>
    </row>
    <row r="10" spans="1:11" ht="20.100000000000001" customHeight="1" x14ac:dyDescent="0.25"/>
    <row r="11" spans="1:11" ht="20.100000000000001" customHeight="1" x14ac:dyDescent="0.3">
      <c r="A11" s="20" t="s">
        <v>9</v>
      </c>
      <c r="B11" s="18"/>
      <c r="C11" s="18"/>
      <c r="D11" s="18"/>
      <c r="E11" s="18"/>
      <c r="F11" s="18"/>
      <c r="G11" s="18"/>
      <c r="H11" s="18"/>
      <c r="I11" s="18"/>
      <c r="J11" s="18"/>
      <c r="K11" s="18"/>
    </row>
    <row r="12" spans="1:11" ht="20.100000000000001" customHeight="1" x14ac:dyDescent="0.25"/>
    <row r="13" spans="1:11" ht="20.100000000000001" customHeight="1" x14ac:dyDescent="0.25"/>
    <row r="14" spans="1:11" ht="32.1" customHeight="1" x14ac:dyDescent="0.25">
      <c r="A14" s="1" t="s">
        <v>10</v>
      </c>
      <c r="B14" s="1" t="s">
        <v>11</v>
      </c>
      <c r="C14" s="1" t="s">
        <v>12</v>
      </c>
      <c r="D14" s="1" t="s">
        <v>13</v>
      </c>
      <c r="E14" s="1" t="s">
        <v>14</v>
      </c>
      <c r="F14" s="1" t="s">
        <v>15</v>
      </c>
      <c r="G14" s="14" t="s">
        <v>16</v>
      </c>
      <c r="H14" s="14" t="s">
        <v>17</v>
      </c>
      <c r="I14" s="14" t="s">
        <v>18</v>
      </c>
      <c r="J14" s="14" t="s">
        <v>19</v>
      </c>
      <c r="K14" s="14" t="s">
        <v>20</v>
      </c>
    </row>
    <row r="15" spans="1:11" ht="20.100000000000001" customHeight="1" x14ac:dyDescent="0.25">
      <c r="A15" s="2" t="s">
        <v>21</v>
      </c>
      <c r="B15" s="3">
        <v>1</v>
      </c>
      <c r="C15" s="4">
        <v>0.6976</v>
      </c>
      <c r="D15" s="4">
        <v>0.76400000000000001</v>
      </c>
      <c r="E15" s="4">
        <v>0.78239999999999998</v>
      </c>
      <c r="F15" s="4">
        <v>0.76049999999999995</v>
      </c>
      <c r="G15" s="15">
        <v>0.80859999999999999</v>
      </c>
      <c r="H15" s="15">
        <v>0.81920000000000004</v>
      </c>
      <c r="I15" s="15">
        <v>0.82809999999999995</v>
      </c>
      <c r="J15" s="15">
        <v>0.8357</v>
      </c>
      <c r="K15" s="15">
        <v>0.84219999999999995</v>
      </c>
    </row>
    <row r="16" spans="1:11" ht="20.100000000000001" customHeight="1" x14ac:dyDescent="0.25">
      <c r="A16" s="2" t="s">
        <v>22</v>
      </c>
      <c r="B16" s="3">
        <v>2</v>
      </c>
      <c r="C16" s="4">
        <v>0.72589999999999999</v>
      </c>
      <c r="D16" s="4">
        <v>0.74950000000000006</v>
      </c>
      <c r="E16" s="4">
        <v>0.79020000000000001</v>
      </c>
      <c r="F16" s="4">
        <v>0.75209999999999999</v>
      </c>
      <c r="G16" s="15">
        <v>0.79020000000000001</v>
      </c>
      <c r="H16" s="15">
        <v>0.80069999999999997</v>
      </c>
      <c r="I16" s="15">
        <v>0.80959999999999999</v>
      </c>
      <c r="J16" s="15">
        <v>0.81710000000000005</v>
      </c>
      <c r="K16" s="15">
        <v>0.82350000000000001</v>
      </c>
    </row>
    <row r="17" spans="1:11" ht="20.100000000000001" customHeight="1" x14ac:dyDescent="0.25">
      <c r="A17" s="2" t="s">
        <v>23</v>
      </c>
      <c r="B17" s="3">
        <v>3</v>
      </c>
      <c r="C17" s="4">
        <v>0.75460000000000005</v>
      </c>
      <c r="D17" s="4">
        <v>0.76280000000000003</v>
      </c>
      <c r="E17" s="4">
        <v>0.74480000000000002</v>
      </c>
      <c r="F17" s="4">
        <v>0.74199999999999999</v>
      </c>
      <c r="G17" s="15">
        <v>0.74480000000000002</v>
      </c>
      <c r="H17" s="15">
        <v>0.74129999999999996</v>
      </c>
      <c r="I17" s="15">
        <v>0.73829999999999996</v>
      </c>
      <c r="J17" s="15">
        <v>0.73570000000000002</v>
      </c>
      <c r="K17" s="15">
        <v>0.73350000000000004</v>
      </c>
    </row>
    <row r="18" spans="1:11" ht="20.100000000000001" customHeight="1" x14ac:dyDescent="0.25">
      <c r="A18" s="2" t="s">
        <v>24</v>
      </c>
      <c r="B18" s="3">
        <v>4</v>
      </c>
      <c r="C18" s="4">
        <v>0.6774</v>
      </c>
      <c r="D18" s="4">
        <v>0.72989999999999999</v>
      </c>
      <c r="E18" s="4">
        <v>0.70520000000000005</v>
      </c>
      <c r="F18" s="4">
        <v>0.71940000000000004</v>
      </c>
      <c r="G18" s="15">
        <v>0.74360000000000004</v>
      </c>
      <c r="H18" s="15">
        <v>0.74939999999999996</v>
      </c>
      <c r="I18" s="15">
        <v>0.75439999999999996</v>
      </c>
      <c r="J18" s="15">
        <v>0.75860000000000005</v>
      </c>
      <c r="K18" s="15">
        <v>0.76219999999999999</v>
      </c>
    </row>
    <row r="19" spans="1:11" ht="20.100000000000001" customHeight="1" x14ac:dyDescent="0.25">
      <c r="A19" s="2" t="s">
        <v>25</v>
      </c>
      <c r="B19" s="3">
        <v>5</v>
      </c>
      <c r="C19" s="4">
        <v>0.72519999999999996</v>
      </c>
      <c r="D19" s="4">
        <v>0.80589999999999995</v>
      </c>
      <c r="E19" s="4">
        <v>0.75370000000000004</v>
      </c>
      <c r="F19" s="4">
        <v>0.71830000000000005</v>
      </c>
      <c r="G19" s="15">
        <v>0.76729999999999998</v>
      </c>
      <c r="H19" s="15">
        <v>0.76049999999999995</v>
      </c>
      <c r="I19" s="15">
        <v>0.75470000000000004</v>
      </c>
      <c r="J19" s="15">
        <v>0.74980000000000002</v>
      </c>
      <c r="K19" s="15">
        <v>0.74560000000000004</v>
      </c>
    </row>
    <row r="20" spans="1:11" ht="20.100000000000001" customHeight="1" x14ac:dyDescent="0.25">
      <c r="A20" s="2" t="s">
        <v>26</v>
      </c>
      <c r="B20" s="3">
        <v>6</v>
      </c>
      <c r="C20" s="4">
        <v>0.70240000000000002</v>
      </c>
      <c r="D20" s="4">
        <v>0.72240000000000004</v>
      </c>
      <c r="E20" s="4">
        <v>0.73839999999999995</v>
      </c>
      <c r="F20" s="4">
        <v>0.71489999999999998</v>
      </c>
      <c r="G20" s="15">
        <v>0.754</v>
      </c>
      <c r="H20" s="15">
        <v>0.76259999999999994</v>
      </c>
      <c r="I20" s="15">
        <v>0.77</v>
      </c>
      <c r="J20" s="15">
        <v>0.77629999999999999</v>
      </c>
      <c r="K20" s="15">
        <v>0.78159999999999996</v>
      </c>
    </row>
    <row r="21" spans="1:11" ht="20.100000000000001" customHeight="1" x14ac:dyDescent="0.25">
      <c r="A21" s="2" t="s">
        <v>27</v>
      </c>
      <c r="B21" s="3">
        <v>9</v>
      </c>
      <c r="C21" s="4">
        <v>0.63329999999999997</v>
      </c>
      <c r="D21" s="4">
        <v>0.72840000000000005</v>
      </c>
      <c r="E21" s="4">
        <v>0.71750000000000003</v>
      </c>
      <c r="F21" s="4">
        <v>0.69740000000000002</v>
      </c>
      <c r="G21" s="15">
        <v>0.75770000000000004</v>
      </c>
      <c r="H21" s="15">
        <v>0.76639999999999997</v>
      </c>
      <c r="I21" s="15">
        <v>0.77380000000000004</v>
      </c>
      <c r="J21" s="15">
        <v>0.78010000000000002</v>
      </c>
      <c r="K21" s="15">
        <v>0.78539999999999999</v>
      </c>
    </row>
    <row r="22" spans="1:11" ht="20.100000000000001" customHeight="1" x14ac:dyDescent="0.25">
      <c r="A22" s="2" t="s">
        <v>28</v>
      </c>
      <c r="B22" s="3">
        <v>11</v>
      </c>
      <c r="C22" s="4">
        <v>0.65410000000000001</v>
      </c>
      <c r="D22" s="4">
        <v>0.75219999999999998</v>
      </c>
      <c r="E22" s="4">
        <v>0.71289999999999998</v>
      </c>
      <c r="F22" s="4">
        <v>0.6915</v>
      </c>
      <c r="G22" s="15">
        <v>0.74950000000000006</v>
      </c>
      <c r="H22" s="15">
        <v>0.75170000000000003</v>
      </c>
      <c r="I22" s="15">
        <v>0.75349999999999995</v>
      </c>
      <c r="J22" s="15">
        <v>0.755</v>
      </c>
      <c r="K22" s="15">
        <v>0.75639999999999996</v>
      </c>
    </row>
    <row r="23" spans="1:11" ht="20.100000000000001" customHeight="1" x14ac:dyDescent="0.25">
      <c r="A23" s="2" t="s">
        <v>29</v>
      </c>
      <c r="B23" s="3">
        <v>12</v>
      </c>
      <c r="C23" s="4">
        <v>0.70069999999999999</v>
      </c>
      <c r="D23" s="4">
        <v>0.68799999999999994</v>
      </c>
      <c r="E23" s="4">
        <v>0.68620000000000003</v>
      </c>
      <c r="F23" s="4">
        <v>0.69130000000000003</v>
      </c>
      <c r="G23" s="15">
        <v>0.68210000000000004</v>
      </c>
      <c r="H23" s="15">
        <v>0.68069999999999997</v>
      </c>
      <c r="I23" s="15">
        <v>0.67949999999999999</v>
      </c>
      <c r="J23" s="15">
        <v>0.67849999999999999</v>
      </c>
      <c r="K23" s="15">
        <v>0.67769999999999997</v>
      </c>
    </row>
    <row r="24" spans="1:11" ht="20.100000000000001" customHeight="1" x14ac:dyDescent="0.25">
      <c r="A24" s="2" t="s">
        <v>30</v>
      </c>
      <c r="B24" s="3">
        <v>13</v>
      </c>
      <c r="C24" s="4">
        <v>0.6673</v>
      </c>
      <c r="D24" s="4">
        <v>0.73109999999999997</v>
      </c>
      <c r="E24" s="4">
        <v>0.70569999999999999</v>
      </c>
      <c r="F24" s="4">
        <v>0.68700000000000006</v>
      </c>
      <c r="G24" s="15">
        <v>0.72589999999999999</v>
      </c>
      <c r="H24" s="15">
        <v>0.72629999999999995</v>
      </c>
      <c r="I24" s="15">
        <v>0.72670000000000001</v>
      </c>
      <c r="J24" s="15">
        <v>0.72689999999999999</v>
      </c>
      <c r="K24" s="15">
        <v>0.72719999999999996</v>
      </c>
    </row>
    <row r="25" spans="1:11" ht="20.100000000000001" customHeight="1" x14ac:dyDescent="0.25">
      <c r="A25" s="2" t="s">
        <v>31</v>
      </c>
      <c r="B25" s="3">
        <v>14</v>
      </c>
      <c r="C25" s="4">
        <v>0.70860000000000001</v>
      </c>
      <c r="D25" s="4">
        <v>0.72970000000000002</v>
      </c>
      <c r="E25" s="4">
        <v>0.70320000000000005</v>
      </c>
      <c r="F25" s="4">
        <v>0.68569999999999998</v>
      </c>
      <c r="G25" s="15">
        <v>0.69850000000000001</v>
      </c>
      <c r="H25" s="15">
        <v>0.69189999999999996</v>
      </c>
      <c r="I25" s="15">
        <v>0.68630000000000002</v>
      </c>
      <c r="J25" s="15">
        <v>0.68149999999999999</v>
      </c>
      <c r="K25" s="15">
        <v>0.6774</v>
      </c>
    </row>
    <row r="26" spans="1:11" ht="20.100000000000001" customHeight="1" x14ac:dyDescent="0.25">
      <c r="A26" s="2" t="s">
        <v>32</v>
      </c>
      <c r="B26" s="3">
        <v>15</v>
      </c>
      <c r="C26" s="4">
        <v>0.67579999999999996</v>
      </c>
      <c r="D26" s="4">
        <v>0.67830000000000001</v>
      </c>
      <c r="E26" s="4">
        <v>0.69310000000000005</v>
      </c>
      <c r="F26" s="4">
        <v>0.67910000000000004</v>
      </c>
      <c r="G26" s="15">
        <v>0.68559999999999999</v>
      </c>
      <c r="H26" s="15">
        <v>0.68759999999999999</v>
      </c>
      <c r="I26" s="15">
        <v>0.6895</v>
      </c>
      <c r="J26" s="15">
        <v>0.69130000000000003</v>
      </c>
      <c r="K26" s="15">
        <v>0.69299999999999995</v>
      </c>
    </row>
    <row r="27" spans="1:11" ht="20.100000000000001" customHeight="1" x14ac:dyDescent="0.25">
      <c r="A27" s="2" t="s">
        <v>33</v>
      </c>
      <c r="B27" s="3">
        <v>16</v>
      </c>
      <c r="C27" s="4">
        <v>0.68969999999999998</v>
      </c>
      <c r="D27" s="4">
        <v>0.69089999999999996</v>
      </c>
      <c r="E27" s="4">
        <v>0.69040000000000001</v>
      </c>
      <c r="F27" s="4">
        <v>0.66849999999999998</v>
      </c>
      <c r="G27" s="15">
        <v>0.67449999999999999</v>
      </c>
      <c r="H27" s="15">
        <v>0.66979999999999995</v>
      </c>
      <c r="I27" s="15">
        <v>0.66590000000000005</v>
      </c>
      <c r="J27" s="15">
        <v>0.66249999999999998</v>
      </c>
      <c r="K27" s="15">
        <v>0.65959999999999996</v>
      </c>
    </row>
    <row r="28" spans="1:11" ht="20.100000000000001" customHeight="1" x14ac:dyDescent="0.25">
      <c r="A28" s="2" t="s">
        <v>34</v>
      </c>
      <c r="B28" s="3">
        <v>17</v>
      </c>
      <c r="C28" s="4">
        <v>0.66749999999999998</v>
      </c>
      <c r="D28" s="4">
        <v>0.67069999999999996</v>
      </c>
      <c r="E28" s="4">
        <v>0.6643</v>
      </c>
      <c r="F28" s="4">
        <v>0.66659999999999997</v>
      </c>
      <c r="G28" s="15">
        <v>0.66700000000000004</v>
      </c>
      <c r="H28" s="15">
        <v>0.66649999999999998</v>
      </c>
      <c r="I28" s="15">
        <v>0.66600000000000004</v>
      </c>
      <c r="J28" s="15">
        <v>0.66569999999999996</v>
      </c>
      <c r="K28" s="15">
        <v>0.66539999999999999</v>
      </c>
    </row>
    <row r="29" spans="1:11" ht="20.100000000000001" customHeight="1" x14ac:dyDescent="0.25">
      <c r="A29" s="2" t="s">
        <v>35</v>
      </c>
      <c r="B29" s="3">
        <v>18</v>
      </c>
      <c r="C29" s="4">
        <v>0.76949999999999996</v>
      </c>
      <c r="D29" s="4">
        <v>0.67530000000000001</v>
      </c>
      <c r="E29" s="4">
        <v>0.66239999999999999</v>
      </c>
      <c r="F29" s="4">
        <v>0.66590000000000005</v>
      </c>
      <c r="G29" s="15">
        <v>0.60640000000000005</v>
      </c>
      <c r="H29" s="15">
        <v>0.5887</v>
      </c>
      <c r="I29" s="15">
        <v>0.5736</v>
      </c>
      <c r="J29" s="15">
        <v>0.56069999999999998</v>
      </c>
      <c r="K29" s="15">
        <v>0.54979999999999996</v>
      </c>
    </row>
    <row r="30" spans="1:11" ht="20.100000000000001" customHeight="1" x14ac:dyDescent="0.25">
      <c r="A30" s="2" t="s">
        <v>36</v>
      </c>
      <c r="B30" s="3">
        <v>19</v>
      </c>
      <c r="C30" s="4">
        <v>0.68300000000000005</v>
      </c>
      <c r="D30" s="4">
        <v>0.70550000000000002</v>
      </c>
      <c r="E30" s="4">
        <v>0.70250000000000001</v>
      </c>
      <c r="F30" s="4">
        <v>0.66520000000000001</v>
      </c>
      <c r="G30" s="15">
        <v>0.68740000000000001</v>
      </c>
      <c r="H30" s="15">
        <v>0.68230000000000002</v>
      </c>
      <c r="I30" s="15">
        <v>0.67789999999999995</v>
      </c>
      <c r="J30" s="15">
        <v>0.67430000000000001</v>
      </c>
      <c r="K30" s="15">
        <v>0.67110000000000003</v>
      </c>
    </row>
    <row r="31" spans="1:11" ht="20.100000000000001" customHeight="1" x14ac:dyDescent="0.25">
      <c r="A31" s="2" t="s">
        <v>37</v>
      </c>
      <c r="B31" s="3">
        <v>20</v>
      </c>
      <c r="C31" s="4">
        <v>0.66320000000000001</v>
      </c>
      <c r="D31" s="4">
        <v>0.73350000000000004</v>
      </c>
      <c r="E31" s="4">
        <v>0.71499999999999997</v>
      </c>
      <c r="F31" s="4">
        <v>0.66259999999999997</v>
      </c>
      <c r="G31" s="15">
        <v>0.71479999999999999</v>
      </c>
      <c r="H31" s="15">
        <v>0.71060000000000001</v>
      </c>
      <c r="I31" s="15">
        <v>0.70699999999999996</v>
      </c>
      <c r="J31" s="15">
        <v>0.70399999999999996</v>
      </c>
      <c r="K31" s="15">
        <v>0.70140000000000002</v>
      </c>
    </row>
    <row r="32" spans="1:11" ht="20.100000000000001" customHeight="1" x14ac:dyDescent="0.25">
      <c r="A32" s="2" t="s">
        <v>38</v>
      </c>
      <c r="B32" s="3">
        <v>21</v>
      </c>
      <c r="C32" s="4">
        <v>0.67559999999999998</v>
      </c>
      <c r="D32" s="4">
        <v>0.70820000000000005</v>
      </c>
      <c r="E32" s="4">
        <v>0.69069999999999998</v>
      </c>
      <c r="F32" s="4">
        <v>0.66139999999999999</v>
      </c>
      <c r="G32" s="15">
        <v>0.68540000000000001</v>
      </c>
      <c r="H32" s="15">
        <v>0.68030000000000002</v>
      </c>
      <c r="I32" s="15">
        <v>0.67589999999999995</v>
      </c>
      <c r="J32" s="15">
        <v>0.67220000000000002</v>
      </c>
      <c r="K32" s="15">
        <v>0.66900000000000004</v>
      </c>
    </row>
    <row r="33" spans="1:11" ht="20.100000000000001" customHeight="1" x14ac:dyDescent="0.25">
      <c r="A33" s="2" t="s">
        <v>39</v>
      </c>
      <c r="B33" s="3">
        <v>22</v>
      </c>
      <c r="C33" s="4">
        <v>0.61970000000000003</v>
      </c>
      <c r="D33" s="4">
        <v>0.66749999999999998</v>
      </c>
      <c r="E33" s="4">
        <v>0.6472</v>
      </c>
      <c r="F33" s="4">
        <v>0.66059999999999997</v>
      </c>
      <c r="G33" s="15">
        <v>0.68279999999999996</v>
      </c>
      <c r="H33" s="15">
        <v>0.68879999999999997</v>
      </c>
      <c r="I33" s="15">
        <v>0.69379999999999997</v>
      </c>
      <c r="J33" s="15">
        <v>0.69810000000000005</v>
      </c>
      <c r="K33" s="15">
        <v>0.70179999999999998</v>
      </c>
    </row>
    <row r="34" spans="1:11" ht="20.100000000000001" customHeight="1" x14ac:dyDescent="0.25">
      <c r="A34" s="2" t="s">
        <v>40</v>
      </c>
      <c r="B34" s="3">
        <v>23</v>
      </c>
      <c r="C34" s="4">
        <v>0.63549999999999995</v>
      </c>
      <c r="D34" s="4">
        <v>0.66649999999999998</v>
      </c>
      <c r="E34" s="4">
        <v>0.67290000000000005</v>
      </c>
      <c r="F34" s="4">
        <v>0.65869999999999995</v>
      </c>
      <c r="G34" s="15">
        <v>0.68179999999999996</v>
      </c>
      <c r="H34" s="15">
        <v>0.68530000000000002</v>
      </c>
      <c r="I34" s="15">
        <v>0.68830000000000002</v>
      </c>
      <c r="J34" s="15">
        <v>0.69089999999999996</v>
      </c>
      <c r="K34" s="15">
        <v>0.69310000000000005</v>
      </c>
    </row>
    <row r="35" spans="1:11" ht="20.100000000000001" customHeight="1" x14ac:dyDescent="0.25">
      <c r="A35" s="2" t="s">
        <v>41</v>
      </c>
      <c r="B35" s="3">
        <v>24</v>
      </c>
      <c r="C35" s="4">
        <v>0.62390000000000001</v>
      </c>
      <c r="D35" s="4">
        <v>0.66900000000000004</v>
      </c>
      <c r="E35" s="4">
        <v>0.66739999999999999</v>
      </c>
      <c r="F35" s="4">
        <v>0.65380000000000005</v>
      </c>
      <c r="G35" s="15">
        <v>0.68400000000000005</v>
      </c>
      <c r="H35" s="15">
        <v>0.68799999999999994</v>
      </c>
      <c r="I35" s="15">
        <v>0.6915</v>
      </c>
      <c r="J35" s="15">
        <v>0.69450000000000001</v>
      </c>
      <c r="K35" s="15">
        <v>0.69699999999999995</v>
      </c>
    </row>
    <row r="36" spans="1:11" ht="20.100000000000001" customHeight="1" x14ac:dyDescent="0.25">
      <c r="A36" s="2" t="s">
        <v>42</v>
      </c>
      <c r="B36" s="3">
        <v>25</v>
      </c>
      <c r="C36" s="4">
        <v>0.623</v>
      </c>
      <c r="D36" s="4">
        <v>0.65720000000000001</v>
      </c>
      <c r="E36" s="4">
        <v>0.64100000000000001</v>
      </c>
      <c r="F36" s="4">
        <v>0.6532</v>
      </c>
      <c r="G36" s="15">
        <v>0.66820000000000002</v>
      </c>
      <c r="H36" s="15">
        <v>0.67259999999999998</v>
      </c>
      <c r="I36" s="15">
        <v>0.6764</v>
      </c>
      <c r="J36" s="15">
        <v>0.67959999999999998</v>
      </c>
      <c r="K36" s="15">
        <v>0.68230000000000002</v>
      </c>
    </row>
    <row r="37" spans="1:11" ht="20.100000000000001" customHeight="1" x14ac:dyDescent="0.25">
      <c r="A37" s="2" t="s">
        <v>43</v>
      </c>
      <c r="B37" s="3">
        <v>26</v>
      </c>
      <c r="C37" s="4">
        <v>0.62519999999999998</v>
      </c>
      <c r="D37" s="4">
        <v>0.66020000000000001</v>
      </c>
      <c r="E37" s="4">
        <v>0.66720000000000002</v>
      </c>
      <c r="F37" s="4">
        <v>0.64670000000000005</v>
      </c>
      <c r="G37" s="15">
        <v>0.67379999999999995</v>
      </c>
      <c r="H37" s="15">
        <v>0.67679999999999996</v>
      </c>
      <c r="I37" s="15">
        <v>0.67930000000000001</v>
      </c>
      <c r="J37" s="15">
        <v>0.68149999999999999</v>
      </c>
      <c r="K37" s="15">
        <v>0.68330000000000002</v>
      </c>
    </row>
    <row r="38" spans="1:11" ht="20.100000000000001" customHeight="1" x14ac:dyDescent="0.25">
      <c r="A38" s="2" t="s">
        <v>44</v>
      </c>
      <c r="B38" s="3">
        <v>27</v>
      </c>
      <c r="C38" s="4">
        <v>0.64029999999999998</v>
      </c>
      <c r="D38" s="4">
        <v>0.65469999999999995</v>
      </c>
      <c r="E38" s="4">
        <v>0.64529999999999998</v>
      </c>
      <c r="F38" s="4">
        <v>0.64500000000000002</v>
      </c>
      <c r="G38" s="15">
        <v>0.6522</v>
      </c>
      <c r="H38" s="15">
        <v>0.65229999999999999</v>
      </c>
      <c r="I38" s="15">
        <v>0.65239999999999998</v>
      </c>
      <c r="J38" s="15">
        <v>0.65239999999999998</v>
      </c>
      <c r="K38" s="15">
        <v>0.65249999999999997</v>
      </c>
    </row>
    <row r="39" spans="1:11" ht="20.100000000000001" customHeight="1" x14ac:dyDescent="0.25">
      <c r="A39" s="2" t="s">
        <v>45</v>
      </c>
      <c r="B39" s="3">
        <v>28</v>
      </c>
      <c r="C39" s="4">
        <v>0.59379999999999999</v>
      </c>
      <c r="D39" s="4">
        <v>0.65069999999999995</v>
      </c>
      <c r="E39" s="4">
        <v>0.64419999999999999</v>
      </c>
      <c r="F39" s="4">
        <v>0.63629999999999998</v>
      </c>
      <c r="G39" s="15">
        <v>0.6714</v>
      </c>
      <c r="H39" s="15">
        <v>0.67749999999999999</v>
      </c>
      <c r="I39" s="15">
        <v>0.68269999999999997</v>
      </c>
      <c r="J39" s="15">
        <v>0.68710000000000004</v>
      </c>
      <c r="K39" s="15">
        <v>0.69079999999999997</v>
      </c>
    </row>
    <row r="40" spans="1:11" ht="20.100000000000001" customHeight="1" x14ac:dyDescent="0.25">
      <c r="A40" s="2" t="s">
        <v>46</v>
      </c>
      <c r="B40" s="3">
        <v>29</v>
      </c>
      <c r="C40" s="4">
        <v>0.6421</v>
      </c>
      <c r="D40" s="4">
        <v>0.65959999999999996</v>
      </c>
      <c r="E40" s="4">
        <v>0.64170000000000005</v>
      </c>
      <c r="F40" s="4">
        <v>0.63429999999999997</v>
      </c>
      <c r="G40" s="15">
        <v>0.64380000000000004</v>
      </c>
      <c r="H40" s="15">
        <v>0.64080000000000004</v>
      </c>
      <c r="I40" s="15">
        <v>0.63829999999999998</v>
      </c>
      <c r="J40" s="15">
        <v>0.63619999999999999</v>
      </c>
      <c r="K40" s="15">
        <v>0.63429999999999997</v>
      </c>
    </row>
    <row r="41" spans="1:11" ht="20.100000000000001" customHeight="1" x14ac:dyDescent="0.25">
      <c r="A41" s="2" t="s">
        <v>47</v>
      </c>
      <c r="B41" s="3">
        <v>31</v>
      </c>
      <c r="C41" s="4">
        <v>0.61129999999999995</v>
      </c>
      <c r="D41" s="4">
        <v>0.65959999999999996</v>
      </c>
      <c r="E41" s="4">
        <v>0.62509999999999999</v>
      </c>
      <c r="F41" s="4">
        <v>0.62329999999999997</v>
      </c>
      <c r="G41" s="15">
        <v>0.64729999999999999</v>
      </c>
      <c r="H41" s="15">
        <v>0.64670000000000005</v>
      </c>
      <c r="I41" s="15">
        <v>0.6462</v>
      </c>
      <c r="J41" s="15">
        <v>0.64570000000000005</v>
      </c>
      <c r="K41" s="15">
        <v>0.64529999999999998</v>
      </c>
    </row>
    <row r="42" spans="1:11" ht="20.100000000000001" customHeight="1" x14ac:dyDescent="0.25">
      <c r="A42" s="2" t="s">
        <v>48</v>
      </c>
      <c r="B42" s="3">
        <v>32</v>
      </c>
      <c r="C42" s="4">
        <v>0.60209999999999997</v>
      </c>
      <c r="D42" s="4">
        <v>0.63129999999999997</v>
      </c>
      <c r="E42" s="4">
        <v>0.61480000000000001</v>
      </c>
      <c r="F42" s="4">
        <v>0.62190000000000001</v>
      </c>
      <c r="G42" s="15">
        <v>0.6351</v>
      </c>
      <c r="H42" s="15">
        <v>0.63749999999999996</v>
      </c>
      <c r="I42" s="15">
        <v>0.63959999999999995</v>
      </c>
      <c r="J42" s="15">
        <v>0.64129999999999998</v>
      </c>
      <c r="K42" s="15">
        <v>0.64280000000000004</v>
      </c>
    </row>
    <row r="43" spans="1:11" ht="20.100000000000001" customHeight="1" x14ac:dyDescent="0.25">
      <c r="A43" s="2" t="s">
        <v>49</v>
      </c>
      <c r="B43" s="3">
        <v>33</v>
      </c>
      <c r="C43" s="4">
        <v>0.59889999999999999</v>
      </c>
      <c r="D43" s="4">
        <v>0.62680000000000002</v>
      </c>
      <c r="E43" s="4">
        <v>0.63390000000000002</v>
      </c>
      <c r="F43" s="4">
        <v>0.62160000000000004</v>
      </c>
      <c r="G43" s="15">
        <v>0.64249999999999996</v>
      </c>
      <c r="H43" s="15">
        <v>0.64610000000000001</v>
      </c>
      <c r="I43" s="15">
        <v>0.64910000000000001</v>
      </c>
      <c r="J43" s="15">
        <v>0.65180000000000005</v>
      </c>
      <c r="K43" s="15">
        <v>0.65400000000000003</v>
      </c>
    </row>
    <row r="44" spans="1:11" ht="20.100000000000001" customHeight="1" x14ac:dyDescent="0.25">
      <c r="A44" s="2" t="s">
        <v>50</v>
      </c>
      <c r="B44" s="3">
        <v>35</v>
      </c>
      <c r="C44" s="4">
        <v>0.60309999999999997</v>
      </c>
      <c r="D44" s="4">
        <v>0.65349999999999997</v>
      </c>
      <c r="E44" s="4">
        <v>0.61180000000000001</v>
      </c>
      <c r="F44" s="4">
        <v>0.61770000000000003</v>
      </c>
      <c r="G44" s="15">
        <v>0.64</v>
      </c>
      <c r="H44" s="15">
        <v>0.63970000000000005</v>
      </c>
      <c r="I44" s="15">
        <v>0.63939999999999997</v>
      </c>
      <c r="J44" s="15">
        <v>0.6391</v>
      </c>
      <c r="K44" s="15">
        <v>0.63890000000000002</v>
      </c>
    </row>
    <row r="45" spans="1:11" ht="20.100000000000001" customHeight="1" x14ac:dyDescent="0.25">
      <c r="A45" s="2" t="s">
        <v>51</v>
      </c>
      <c r="B45" s="3">
        <v>36</v>
      </c>
      <c r="C45" s="4">
        <v>0.61080000000000001</v>
      </c>
      <c r="D45" s="4">
        <v>0.62639999999999996</v>
      </c>
      <c r="E45" s="4">
        <v>0.61119999999999997</v>
      </c>
      <c r="F45" s="4">
        <v>0.61280000000000001</v>
      </c>
      <c r="G45" s="15">
        <v>0.61939999999999995</v>
      </c>
      <c r="H45" s="15">
        <v>0.61870000000000003</v>
      </c>
      <c r="I45" s="15">
        <v>0.61809999999999998</v>
      </c>
      <c r="J45" s="15">
        <v>0.61760000000000004</v>
      </c>
      <c r="K45" s="15">
        <v>0.61719999999999997</v>
      </c>
    </row>
    <row r="46" spans="1:11" ht="20.100000000000001" customHeight="1" x14ac:dyDescent="0.25">
      <c r="A46" s="2" t="s">
        <v>52</v>
      </c>
      <c r="B46" s="3">
        <v>40</v>
      </c>
      <c r="C46" s="4">
        <v>0.57179999999999997</v>
      </c>
      <c r="D46" s="4">
        <v>0.59379999999999999</v>
      </c>
      <c r="E46" s="4">
        <v>0.60189999999999999</v>
      </c>
      <c r="F46" s="4">
        <v>0.58240000000000003</v>
      </c>
      <c r="G46" s="15">
        <v>0.60170000000000001</v>
      </c>
      <c r="H46" s="15">
        <v>0.60299999999999998</v>
      </c>
      <c r="I46" s="15">
        <v>0.60409999999999997</v>
      </c>
      <c r="J46" s="15">
        <v>0.60499999999999998</v>
      </c>
      <c r="K46" s="15">
        <v>0.60580000000000001</v>
      </c>
    </row>
    <row r="47" spans="1:11" ht="20.100000000000001" customHeight="1" x14ac:dyDescent="0.25">
      <c r="A47" s="2" t="s">
        <v>53</v>
      </c>
      <c r="B47" s="3">
        <v>42</v>
      </c>
      <c r="C47" s="4">
        <v>0.55330000000000001</v>
      </c>
      <c r="D47" s="4">
        <v>0.57099999999999995</v>
      </c>
      <c r="E47" s="4">
        <v>0.5575</v>
      </c>
      <c r="F47" s="4">
        <v>0.56559999999999999</v>
      </c>
      <c r="G47" s="15">
        <v>0.57210000000000005</v>
      </c>
      <c r="H47" s="15">
        <v>0.5736</v>
      </c>
      <c r="I47" s="15">
        <v>0.57479999999999998</v>
      </c>
      <c r="J47" s="15">
        <v>0.57589999999999997</v>
      </c>
      <c r="K47" s="15">
        <v>0.57679999999999998</v>
      </c>
    </row>
    <row r="48" spans="1:11" ht="20.100000000000001" customHeight="1" x14ac:dyDescent="0.25">
      <c r="A48" s="2" t="s">
        <v>54</v>
      </c>
      <c r="B48" s="3">
        <v>53</v>
      </c>
      <c r="C48" s="4">
        <v>0.48920000000000002</v>
      </c>
      <c r="D48" s="4">
        <v>0.50800000000000001</v>
      </c>
      <c r="E48" s="4">
        <v>0.5272</v>
      </c>
      <c r="F48" s="4">
        <v>0.51870000000000005</v>
      </c>
      <c r="G48" s="15">
        <v>0.54</v>
      </c>
      <c r="H48" s="15">
        <v>0.54830000000000001</v>
      </c>
      <c r="I48" s="15">
        <v>0.5554</v>
      </c>
      <c r="J48" s="15">
        <v>0.56140000000000001</v>
      </c>
      <c r="K48" s="15">
        <v>0.5665</v>
      </c>
    </row>
    <row r="49" spans="1:11" ht="20.100000000000001" customHeight="1" x14ac:dyDescent="0.25">
      <c r="A49" s="5" t="s">
        <v>55</v>
      </c>
      <c r="B49" s="6">
        <v>66</v>
      </c>
      <c r="C49" s="7">
        <v>0.44919999999999999</v>
      </c>
      <c r="D49" s="7">
        <v>0.49809999999999999</v>
      </c>
      <c r="E49" s="7">
        <v>0.50070000000000003</v>
      </c>
      <c r="F49" s="7">
        <v>0.4778</v>
      </c>
      <c r="G49" s="16">
        <v>0.51319999999999999</v>
      </c>
      <c r="H49" s="16">
        <v>0.51690000000000003</v>
      </c>
      <c r="I49" s="16">
        <v>0.52</v>
      </c>
      <c r="J49" s="16">
        <v>0.52270000000000005</v>
      </c>
      <c r="K49" s="16">
        <v>0.52490000000000003</v>
      </c>
    </row>
    <row r="50" spans="1:11" ht="20.100000000000001" customHeight="1" x14ac:dyDescent="0.25">
      <c r="A50" s="2" t="s">
        <v>56</v>
      </c>
      <c r="B50" s="3">
        <v>68</v>
      </c>
      <c r="C50" s="4">
        <v>0.45029999999999998</v>
      </c>
      <c r="D50" s="4">
        <v>0.47110000000000002</v>
      </c>
      <c r="E50" s="4">
        <v>0.47370000000000001</v>
      </c>
      <c r="F50" s="4">
        <v>0.4743</v>
      </c>
      <c r="G50" s="15">
        <v>0.48709999999999998</v>
      </c>
      <c r="H50" s="15">
        <v>0.49120000000000003</v>
      </c>
      <c r="I50" s="15">
        <v>0.49480000000000002</v>
      </c>
      <c r="J50" s="15">
        <v>0.49780000000000002</v>
      </c>
      <c r="K50" s="15">
        <v>0.50029999999999997</v>
      </c>
    </row>
    <row r="51" spans="1:11" ht="20.100000000000001" customHeight="1" x14ac:dyDescent="0.25">
      <c r="A51" s="2" t="s">
        <v>57</v>
      </c>
      <c r="B51" s="3">
        <v>75</v>
      </c>
      <c r="C51" s="4">
        <v>0.43640000000000001</v>
      </c>
      <c r="D51" s="4">
        <v>0.47049999999999997</v>
      </c>
      <c r="E51" s="4">
        <v>0.45200000000000001</v>
      </c>
      <c r="F51" s="4">
        <v>0.44540000000000002</v>
      </c>
      <c r="G51" s="15">
        <v>0.46460000000000001</v>
      </c>
      <c r="H51" s="15">
        <v>0.46439999999999998</v>
      </c>
      <c r="I51" s="15">
        <v>0.4642</v>
      </c>
      <c r="J51" s="15">
        <v>0.46400000000000002</v>
      </c>
      <c r="K51" s="15">
        <v>0.46389999999999998</v>
      </c>
    </row>
    <row r="52" spans="1:11" ht="20.100000000000001" customHeight="1" x14ac:dyDescent="0.25">
      <c r="A52" s="8"/>
      <c r="B52" s="9"/>
      <c r="C52" s="10"/>
      <c r="D52" s="10"/>
      <c r="E52" s="10"/>
      <c r="F52" s="10"/>
      <c r="G52" s="10"/>
      <c r="H52" s="10"/>
      <c r="I52" s="10"/>
      <c r="J52" s="10"/>
      <c r="K52" s="10"/>
    </row>
    <row r="53" spans="1:11" ht="20.100000000000001" customHeight="1" x14ac:dyDescent="0.25"/>
    <row r="54" spans="1:11" ht="20.100000000000001" customHeight="1" x14ac:dyDescent="0.3">
      <c r="A54" s="11"/>
    </row>
    <row r="55" spans="1:11" ht="20.100000000000001" customHeight="1" x14ac:dyDescent="0.25"/>
    <row r="56" spans="1:11" ht="57.95" customHeight="1" x14ac:dyDescent="0.25"/>
    <row r="57" spans="1:11" ht="42" customHeight="1" x14ac:dyDescent="0.25"/>
    <row r="58" spans="1:11" ht="57.95" customHeight="1" x14ac:dyDescent="0.25"/>
    <row r="59" spans="1:11" ht="42" customHeight="1" x14ac:dyDescent="0.25"/>
    <row r="60" spans="1:11" ht="42" customHeight="1" x14ac:dyDescent="0.25"/>
    <row r="61" spans="1:11" ht="57.95" customHeight="1" x14ac:dyDescent="0.25"/>
    <row r="62" spans="1:11" ht="42" customHeight="1" x14ac:dyDescent="0.25"/>
    <row r="63" spans="1:11" ht="42" customHeight="1" x14ac:dyDescent="0.25"/>
    <row r="64" spans="1: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1:10" ht="20.100000000000001" customHeight="1" x14ac:dyDescent="0.25"/>
    <row r="82" spans="1:10" ht="20.100000000000001" customHeight="1" x14ac:dyDescent="0.25"/>
    <row r="83" spans="1:10" ht="20.100000000000001" customHeight="1" x14ac:dyDescent="0.25"/>
    <row r="84" spans="1:10" ht="20.100000000000001" customHeight="1" x14ac:dyDescent="0.25"/>
    <row r="85" spans="1:10" ht="20.100000000000001" customHeight="1" x14ac:dyDescent="0.25"/>
    <row r="86" spans="1:10" ht="20.100000000000001" customHeight="1" x14ac:dyDescent="0.25">
      <c r="A86" s="12" t="s">
        <v>58</v>
      </c>
    </row>
    <row r="87" spans="1:10" ht="20.100000000000001" customHeight="1" x14ac:dyDescent="0.25"/>
    <row r="88" spans="1:10" ht="20.100000000000001" customHeight="1" x14ac:dyDescent="0.25">
      <c r="A88" s="13" t="s">
        <v>59</v>
      </c>
    </row>
    <row r="89" spans="1:10" ht="56.1" customHeight="1" x14ac:dyDescent="0.25">
      <c r="A89" s="25" t="s">
        <v>60</v>
      </c>
      <c r="B89" s="18"/>
      <c r="C89" s="18"/>
      <c r="D89" s="18"/>
      <c r="E89" s="18"/>
      <c r="F89" s="18"/>
      <c r="G89" s="18"/>
      <c r="H89" s="18"/>
      <c r="I89" s="18"/>
      <c r="J89" s="18"/>
    </row>
    <row r="91" spans="1:10" x14ac:dyDescent="0.25">
      <c r="A91" s="13" t="s">
        <v>61</v>
      </c>
    </row>
    <row r="92" spans="1:10" ht="69.95" customHeight="1" x14ac:dyDescent="0.25">
      <c r="A92" s="25" t="s">
        <v>62</v>
      </c>
      <c r="B92" s="18"/>
      <c r="C92" s="18"/>
      <c r="D92" s="18"/>
      <c r="E92" s="18"/>
      <c r="F92" s="18"/>
      <c r="G92" s="18"/>
      <c r="H92" s="18"/>
      <c r="I92" s="18"/>
      <c r="J92" s="18"/>
    </row>
    <row r="94" spans="1:10" x14ac:dyDescent="0.25">
      <c r="A94" s="13" t="s">
        <v>63</v>
      </c>
    </row>
    <row r="95" spans="1:10" ht="84" customHeight="1" x14ac:dyDescent="0.25">
      <c r="A95" s="25" t="s">
        <v>64</v>
      </c>
      <c r="B95" s="18"/>
      <c r="C95" s="18"/>
      <c r="D95" s="18"/>
      <c r="E95" s="18"/>
      <c r="F95" s="18"/>
      <c r="G95" s="18"/>
      <c r="H95" s="18"/>
      <c r="I95" s="18"/>
      <c r="J95" s="18"/>
    </row>
    <row r="97" spans="1:10" x14ac:dyDescent="0.25">
      <c r="A97" s="13" t="s">
        <v>65</v>
      </c>
    </row>
    <row r="98" spans="1:10" ht="98.1" customHeight="1" x14ac:dyDescent="0.25">
      <c r="A98" s="25" t="s">
        <v>66</v>
      </c>
      <c r="B98" s="18"/>
      <c r="C98" s="18"/>
      <c r="D98" s="18"/>
      <c r="E98" s="18"/>
      <c r="F98" s="18"/>
      <c r="G98" s="18"/>
      <c r="H98" s="18"/>
      <c r="I98" s="18"/>
      <c r="J98" s="18"/>
    </row>
    <row r="100" spans="1:10" x14ac:dyDescent="0.25">
      <c r="A100" s="13" t="s">
        <v>67</v>
      </c>
    </row>
    <row r="101" spans="1:10" ht="42" customHeight="1" x14ac:dyDescent="0.25">
      <c r="A101" s="25" t="s">
        <v>68</v>
      </c>
      <c r="B101" s="18"/>
      <c r="C101" s="18"/>
      <c r="D101" s="18"/>
      <c r="E101" s="18"/>
      <c r="F101" s="18"/>
      <c r="G101" s="18"/>
      <c r="H101" s="18"/>
      <c r="I101" s="18"/>
      <c r="J101" s="18"/>
    </row>
    <row r="103" spans="1:10" x14ac:dyDescent="0.25">
      <c r="A103" s="13" t="s">
        <v>69</v>
      </c>
    </row>
    <row r="104" spans="1:10" ht="98.1" customHeight="1" x14ac:dyDescent="0.25">
      <c r="A104" s="25" t="s">
        <v>70</v>
      </c>
      <c r="B104" s="18"/>
      <c r="C104" s="18"/>
      <c r="D104" s="18"/>
      <c r="E104" s="18"/>
      <c r="F104" s="18"/>
      <c r="G104" s="18"/>
      <c r="H104" s="18"/>
      <c r="I104" s="18"/>
      <c r="J104" s="18"/>
    </row>
    <row r="106" spans="1:10" x14ac:dyDescent="0.25">
      <c r="A106" s="13" t="s">
        <v>71</v>
      </c>
    </row>
    <row r="107" spans="1:10" ht="69.95" customHeight="1" x14ac:dyDescent="0.25">
      <c r="A107" s="25" t="s">
        <v>72</v>
      </c>
      <c r="B107" s="18"/>
      <c r="C107" s="18"/>
      <c r="D107" s="18"/>
      <c r="E107" s="18"/>
      <c r="F107" s="18"/>
      <c r="G107" s="18"/>
      <c r="H107" s="18"/>
      <c r="I107" s="18"/>
      <c r="J107" s="18"/>
    </row>
  </sheetData>
  <mergeCells count="22">
    <mergeCell ref="A92:J92"/>
    <mergeCell ref="G6:H6"/>
    <mergeCell ref="A98:J98"/>
    <mergeCell ref="A107:J107"/>
    <mergeCell ref="E6:F6"/>
    <mergeCell ref="A9:F9"/>
    <mergeCell ref="I6:K6"/>
    <mergeCell ref="A89:J89"/>
    <mergeCell ref="A95:J95"/>
    <mergeCell ref="A101:J101"/>
    <mergeCell ref="A104:J104"/>
    <mergeCell ref="G9:K9"/>
    <mergeCell ref="C6:D6"/>
    <mergeCell ref="C5:D5"/>
    <mergeCell ref="A11:K11"/>
    <mergeCell ref="E5:F5"/>
    <mergeCell ref="A1:K1"/>
    <mergeCell ref="A6:B6"/>
    <mergeCell ref="I5:K5"/>
    <mergeCell ref="A3:K3"/>
    <mergeCell ref="A5:B5"/>
    <mergeCell ref="G5:H5"/>
  </mergeCells>
  <conditionalFormatting sqref="C15:K52">
    <cfRule type="colorScale" priority="1">
      <colorScale>
        <cfvo type="min"/>
        <cfvo type="percentile" val="50"/>
        <cfvo type="max"/>
        <color rgb="FFFDECEC"/>
        <color rgb="FFFFF7D6"/>
        <color rgb="FFDFF3E8"/>
      </colorScale>
    </cfRule>
  </conditionalFormatting>
  <pageMargins left="0.75" right="0.75" top="1" bottom="1" header="0.5" footer="0.5"/>
  <pageSetup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Panel_DQL_2030</vt:lpstr>
      <vt:lpstr>Panel_DQL_2030!Títulos_a_imprimir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David Redondo</cp:lastModifiedBy>
  <dcterms:created xsi:type="dcterms:W3CDTF">2026-07-21T18:57:54Z</dcterms:created>
  <dcterms:modified xsi:type="dcterms:W3CDTF">2026-07-22T14:10:46Z</dcterms:modified>
</cp:coreProperties>
</file>
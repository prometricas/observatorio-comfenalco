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B Colombia 2015-2050" sheetId="1" state="visible" r:id="rId1"/>
  </sheets>
  <definedNames>
    <definedName name="_xlnm._FilterDatabase" localSheetId="0" hidden="1">'FNB Colombia 2015-2050'!$A$4:$H$40</definedName>
    <definedName name="_xlnm.Print_Titles" localSheetId="0">'FNB Colombia 2015-2050'!$1:$4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263238"/>
      <sz val="10"/>
    </font>
    <font>
      <b val="1"/>
      <color rgb="00FFFFFF"/>
    </font>
    <font>
      <i val="1"/>
      <color rgb="00263238"/>
      <sz val="9"/>
    </font>
    <font>
      <b val="1"/>
      <color rgb="0028464B"/>
    </font>
    <font>
      <b val="1"/>
      <color rgb="0028464B"/>
      <sz val="15"/>
    </font>
    <font>
      <i val="1"/>
      <color rgb="0050666B"/>
      <sz val="10"/>
    </font>
    <font>
      <b val="1"/>
      <color rgb="00356A5F"/>
    </font>
    <font>
      <b val="1"/>
      <color rgb="00426A91"/>
    </font>
    <font>
      <name val="Aptos"/>
      <sz val="10"/>
    </font>
    <font>
      <name val="Aptos"/>
      <b val="1"/>
      <color rgb="00234E52"/>
      <sz val="10"/>
    </font>
    <font>
      <name val="Aptos"/>
      <color rgb="00334155"/>
      <sz val="10"/>
    </font>
    <font>
      <name val="Aptos Display"/>
      <b val="1"/>
      <color rgb="00234E52"/>
      <sz val="11"/>
    </font>
    <font>
      <name val="Aptos"/>
      <color rgb="00475569"/>
      <sz val="9"/>
    </font>
    <font>
      <name val="Aptos Display"/>
      <b val="1"/>
      <color rgb="006B4F1D"/>
      <sz val="10"/>
    </font>
  </fonts>
  <fills count="16">
    <fill>
      <patternFill/>
    </fill>
    <fill>
      <patternFill patternType="gray125"/>
    </fill>
    <fill>
      <patternFill patternType="solid">
        <fgColor rgb="00365B6D"/>
      </patternFill>
    </fill>
    <fill>
      <patternFill patternType="solid">
        <fgColor rgb="00DDEBF7"/>
      </patternFill>
    </fill>
    <fill>
      <patternFill patternType="solid">
        <fgColor rgb="007FB8A4"/>
      </patternFill>
    </fill>
    <fill>
      <patternFill patternType="solid">
        <fgColor rgb="00EAF4EA"/>
      </patternFill>
    </fill>
    <fill>
      <patternFill patternType="solid">
        <fgColor rgb="00FFF2CC"/>
      </patternFill>
    </fill>
    <fill>
      <patternFill patternType="solid">
        <fgColor rgb="00EEF1F4"/>
      </patternFill>
    </fill>
    <fill>
      <patternFill patternType="solid">
        <fgColor rgb="00D9EAE6"/>
      </patternFill>
    </fill>
    <fill>
      <patternFill patternType="solid">
        <fgColor rgb="00CFE3DF"/>
      </patternFill>
    </fill>
    <fill>
      <patternFill patternType="solid">
        <fgColor rgb="00F5F7F8"/>
      </patternFill>
    </fill>
    <fill>
      <patternFill patternType="solid">
        <fgColor rgb="00EAF4F1"/>
      </patternFill>
    </fill>
    <fill>
      <patternFill patternType="solid">
        <fgColor rgb="00EDF3FA"/>
      </patternFill>
    </fill>
    <fill>
      <patternFill patternType="solid">
        <fgColor rgb="00DCEFE8"/>
      </patternFill>
    </fill>
    <fill>
      <patternFill patternType="solid">
        <fgColor rgb="00E8F3F1"/>
      </patternFill>
    </fill>
    <fill>
      <patternFill patternType="solid">
        <fgColor rgb="00F4EBD8"/>
      </patternFill>
    </fill>
  </fills>
  <borders count="5">
    <border>
      <left/>
      <right/>
      <top/>
      <bottom/>
      <diagonal/>
    </border>
    <border>
      <bottom style="thin">
        <color rgb="00C8D0D6"/>
      </bottom>
    </border>
    <border>
      <bottom style="medium">
        <color rgb="00365B6D"/>
      </bottom>
    </border>
    <border>
      <top style="medium">
        <color rgb="00365B6D"/>
      </top>
      <bottom style="thin">
        <color rgb="00C8D0D6"/>
      </bottom>
    </border>
    <border/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right" vertical="center"/>
    </xf>
    <xf numFmtId="0" fontId="0" fillId="6" borderId="3" applyAlignment="1" pivotButton="0" quotePrefix="0" xfId="0">
      <alignment horizontal="center" vertical="center"/>
    </xf>
    <xf numFmtId="164" fontId="0" fillId="6" borderId="3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right" vertical="center"/>
    </xf>
    <xf numFmtId="0" fontId="4" fillId="7" borderId="0" applyAlignment="1" pivotButton="0" quotePrefix="0" xfId="0">
      <alignment vertical="center" wrapText="1"/>
    </xf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1" fontId="0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right" vertical="center"/>
    </xf>
    <xf numFmtId="1" fontId="0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164" fontId="0" fillId="11" borderId="2" applyAlignment="1" pivotButton="0" quotePrefix="0" xfId="0">
      <alignment horizontal="right" vertical="center"/>
    </xf>
    <xf numFmtId="1" fontId="0" fillId="12" borderId="3" applyAlignment="1" pivotButton="0" quotePrefix="0" xfId="0">
      <alignment horizontal="center" vertical="center"/>
    </xf>
    <xf numFmtId="0" fontId="9" fillId="12" borderId="3" applyAlignment="1" pivotButton="0" quotePrefix="0" xfId="0">
      <alignment horizontal="center" vertical="center"/>
    </xf>
    <xf numFmtId="164" fontId="0" fillId="12" borderId="3" applyAlignment="1" pivotButton="0" quotePrefix="0" xfId="0">
      <alignment horizontal="right" vertical="center"/>
    </xf>
    <xf numFmtId="1" fontId="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right" vertical="center"/>
    </xf>
    <xf numFmtId="0" fontId="5" fillId="10" borderId="0" pivotButton="0" quotePrefix="0" xfId="0"/>
    <xf numFmtId="0" fontId="8" fillId="10" borderId="0" pivotButton="0" quotePrefix="0" xfId="0"/>
    <xf numFmtId="0" fontId="3" fillId="10" borderId="0" pivotButton="0" quotePrefix="0" xfId="0"/>
    <xf numFmtId="0" fontId="9" fillId="10" borderId="0" pivotButton="0" quotePrefix="0" xfId="0"/>
    <xf numFmtId="165" fontId="0" fillId="10" borderId="0" pivotButton="0" quotePrefix="0" xfId="0"/>
    <xf numFmtId="0" fontId="11" fillId="13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164" fontId="12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14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165" fontId="0" fillId="0" borderId="4" pivotButton="0" quotePrefix="0" xfId="0"/>
    <xf numFmtId="164" fontId="0" fillId="0" borderId="4" pivotButton="0" quotePrefix="0" xfId="0"/>
    <xf numFmtId="0" fontId="15" fillId="15" borderId="4" applyAlignment="1" pivotButton="0" quotePrefix="0" xfId="0">
      <alignment horizontal="left"/>
    </xf>
    <xf numFmtId="0" fontId="14" fillId="0" borderId="4" applyAlignment="1" pivotButton="0" quotePrefix="0" xfId="0">
      <alignment horizontal="left"/>
    </xf>
    <xf numFmtId="165" fontId="14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Trayectoria del índice FNB adaptado, 2015–2050</a:t>
            </a:r>
          </a:p>
        </rich>
      </tx>
    </title>
    <plotArea>
      <lineChart>
        <grouping val="standard"/>
        <ser>
          <idx val="0"/>
          <order val="0"/>
          <tx>
            <strRef>
              <f>'FNB Colombia 2015-2050'!K4</f>
            </strRef>
          </tx>
          <spPr>
            <a:solidFill xmlns:a="http://schemas.openxmlformats.org/drawingml/2006/main">
              <a:srgbClr val="7FB8AD"/>
            </a:solidFill>
            <a:ln xmlns:a="http://schemas.openxmlformats.org/drawingml/2006/main" w="24000">
              <a:solidFill>
                <a:srgbClr val="7FB8AD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'FNB Colombia 2015-2050'!$J$5:$J$40</f>
            </numRef>
          </cat>
          <val>
            <numRef>
              <f>'FNB Colombia 2015-2050'!$K$5:$K$40</f>
            </numRef>
          </val>
        </ser>
        <ser>
          <idx val="1"/>
          <order val="1"/>
          <tx>
            <strRef>
              <f>'FNB Colombia 2015-2050'!L4</f>
            </strRef>
          </tx>
          <spPr>
            <a:solidFill xmlns:a="http://schemas.openxmlformats.org/drawingml/2006/main">
              <a:srgbClr val="89A9C7"/>
            </a:solidFill>
            <a:ln xmlns:a="http://schemas.openxmlformats.org/drawingml/2006/main" w="24000">
              <a:solidFill>
                <a:srgbClr val="89A9C7"/>
              </a:solidFill>
              <a:prstDash val="solid"/>
            </a:ln>
          </spPr>
          <marker>
            <symbol val="diamond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'FNB Colombia 2015-2050'!$J$5:$J$40</f>
            </numRef>
          </cat>
          <val>
            <numRef>
              <f>'FNB Colombia 2015-2050'!$L$5:$L$40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5"/>
          <min val="6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Índice (0–100)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6300000" cy="331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8858250" cy="485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</cols>
  <sheetData>
    <row r="1" ht="30" customHeight="1">
      <c r="A1" s="16" t="inlineStr">
        <is>
          <t>Indicadores de bienestar de Colombia adaptados a la Felicidad Nacional Bruta de Bután, 2015–2050</t>
        </is>
      </c>
    </row>
    <row r="2" ht="34" customHeight="1">
      <c r="A2" s="17" t="inlineStr">
        <is>
          <t>Serie histórica 2015–2025 y escenario tendencial 2026–2050. VH = valor histórico; ET = escenario tendencial. Las estimaciones ET corresponden a extrapolaciones lineales acotadas entre 0 y 100.</t>
        </is>
      </c>
    </row>
    <row r="4" ht="48" customHeight="1">
      <c r="A4" s="18" t="inlineStr">
        <is>
          <t>Año</t>
        </is>
      </c>
      <c r="B4" s="18" t="inlineStr">
        <is>
          <t>Clasificación</t>
        </is>
      </c>
      <c r="C4" s="18" t="inlineStr">
        <is>
          <t>Salud: afiliación al SGSSS (%)</t>
        </is>
      </c>
      <c r="D4" s="18" t="inlineStr">
        <is>
          <t>Educación: asistencia escolar 6–21 años (%)</t>
        </is>
      </c>
      <c r="E4" s="18" t="inlineStr">
        <is>
          <t>Resiliencia ecológica: recolección de basuras (%)</t>
        </is>
      </c>
      <c r="F4" s="18" t="inlineStr">
        <is>
          <t>Nivel de vida: no se considera pobre (%)</t>
        </is>
      </c>
      <c r="G4" s="18" t="inlineStr">
        <is>
          <t>Nivel de vida: vivienda propia (%)</t>
        </is>
      </c>
      <c r="H4" s="18" t="inlineStr">
        <is>
          <t>Índice FNB adaptado (0–100)</t>
        </is>
      </c>
      <c r="J4" t="inlineStr">
        <is>
          <t>Año</t>
        </is>
      </c>
      <c r="K4" t="inlineStr">
        <is>
          <t>Índice VH</t>
        </is>
      </c>
      <c r="L4" t="inlineStr">
        <is>
          <t>Índice ET</t>
        </is>
      </c>
      <c r="M4" s="36" t="inlineStr">
        <is>
          <t>Indicador</t>
        </is>
      </c>
      <c r="N4" s="36" t="inlineStr">
        <is>
          <t>2025 VH</t>
        </is>
      </c>
      <c r="O4" s="36" t="inlineStr">
        <is>
          <t>2035 ET</t>
        </is>
      </c>
      <c r="P4" s="36" t="inlineStr">
        <is>
          <t>2050 ET</t>
        </is>
      </c>
    </row>
    <row r="5">
      <c r="A5" s="19" t="n">
        <v>2015</v>
      </c>
      <c r="B5" s="20" t="inlineStr">
        <is>
          <t>VH</t>
        </is>
      </c>
      <c r="C5" s="21" t="n">
        <v>94.6352072</v>
      </c>
      <c r="D5" s="21" t="n">
        <v>81.0885385</v>
      </c>
      <c r="E5" s="21" t="n">
        <v>81.3176204</v>
      </c>
      <c r="F5" s="21" t="n">
        <v>64.0326688</v>
      </c>
      <c r="G5" s="21" t="n">
        <v>47.09251492</v>
      </c>
      <c r="H5" s="21" t="n">
        <v>73.63330996400001</v>
      </c>
      <c r="J5" t="n">
        <v>2015</v>
      </c>
      <c r="K5" t="n">
        <v>73.63330996400001</v>
      </c>
      <c r="M5" s="37" t="inlineStr">
        <is>
          <t>SAL</t>
        </is>
      </c>
      <c r="N5" s="38" t="n">
        <v>97.23227344999999</v>
      </c>
      <c r="O5" s="38" t="n">
        <v>100</v>
      </c>
      <c r="P5" s="38" t="n">
        <v>100</v>
      </c>
    </row>
    <row r="6">
      <c r="A6" s="19" t="n">
        <v>2016</v>
      </c>
      <c r="B6" s="20" t="inlineStr">
        <is>
          <t>VH</t>
        </is>
      </c>
      <c r="C6" s="21" t="n">
        <v>95.3755173</v>
      </c>
      <c r="D6" s="21" t="n">
        <v>80.93112600000001</v>
      </c>
      <c r="E6" s="21" t="n">
        <v>82.4252943</v>
      </c>
      <c r="F6" s="21" t="n">
        <v>65.8653095</v>
      </c>
      <c r="G6" s="21" t="n">
        <v>47.86016923</v>
      </c>
      <c r="H6" s="21" t="n">
        <v>74.491483266</v>
      </c>
      <c r="J6" t="n">
        <v>2016</v>
      </c>
      <c r="K6" t="n">
        <v>74.491483266</v>
      </c>
      <c r="M6" s="37" t="inlineStr">
        <is>
          <t>EDU</t>
        </is>
      </c>
      <c r="N6" s="38" t="n">
        <v>81.90189838000001</v>
      </c>
      <c r="O6" s="38" t="n">
        <v>86.17870000000001</v>
      </c>
      <c r="P6" s="38" t="n">
        <v>92.5938</v>
      </c>
    </row>
    <row r="7">
      <c r="A7" s="19" t="n">
        <v>2017</v>
      </c>
      <c r="B7" s="20" t="inlineStr">
        <is>
          <t>VH</t>
        </is>
      </c>
      <c r="C7" s="21" t="n">
        <v>94.57107689999999</v>
      </c>
      <c r="D7" s="21" t="n">
        <v>81.52074949999999</v>
      </c>
      <c r="E7" s="21" t="n">
        <v>98.4216989</v>
      </c>
      <c r="F7" s="21" t="n">
        <v>75.4728558</v>
      </c>
      <c r="G7" s="21" t="n">
        <v>47.31365472</v>
      </c>
      <c r="H7" s="21" t="n">
        <v>79.460007164</v>
      </c>
      <c r="J7" t="n">
        <v>2017</v>
      </c>
      <c r="K7" t="n">
        <v>79.460007164</v>
      </c>
      <c r="M7" s="37" t="inlineStr">
        <is>
          <t>ECO</t>
        </is>
      </c>
      <c r="N7" s="38" t="n">
        <v>83.98403183000001</v>
      </c>
      <c r="O7" s="38" t="n">
        <v>87.69459999999999</v>
      </c>
      <c r="P7" s="38" t="n">
        <v>93.26049999999999</v>
      </c>
    </row>
    <row r="8">
      <c r="A8" s="19" t="n">
        <v>2018</v>
      </c>
      <c r="B8" s="20" t="inlineStr">
        <is>
          <t>VH</t>
        </is>
      </c>
      <c r="C8" s="21" t="n">
        <v>93.56666665</v>
      </c>
      <c r="D8" s="21" t="n">
        <v>79.1554501</v>
      </c>
      <c r="E8" s="21" t="n">
        <v>81.2504034</v>
      </c>
      <c r="F8" s="21" t="n">
        <v>64.7070521</v>
      </c>
      <c r="G8" s="21" t="n">
        <v>48.85227315</v>
      </c>
      <c r="H8" s="21" t="n">
        <v>73.50636908</v>
      </c>
      <c r="J8" t="n">
        <v>2018</v>
      </c>
      <c r="K8" t="n">
        <v>73.50636908</v>
      </c>
      <c r="M8" s="37" t="inlineStr">
        <is>
          <t>NVP</t>
        </is>
      </c>
      <c r="N8" s="38" t="n">
        <v>62.40014005</v>
      </c>
      <c r="O8" s="38" t="n">
        <v>55.2859</v>
      </c>
      <c r="P8" s="38" t="n">
        <v>44.6145</v>
      </c>
    </row>
    <row r="9">
      <c r="A9" s="19" t="n">
        <v>2019</v>
      </c>
      <c r="B9" s="20" t="inlineStr">
        <is>
          <t>VH</t>
        </is>
      </c>
      <c r="C9" s="21" t="n">
        <v>92.7971165</v>
      </c>
      <c r="D9" s="21" t="n">
        <v>79.94492339999999</v>
      </c>
      <c r="E9" s="21" t="n">
        <v>81.7765442</v>
      </c>
      <c r="F9" s="21" t="n">
        <v>62.05490155</v>
      </c>
      <c r="G9" s="21" t="n">
        <v>46.11703529</v>
      </c>
      <c r="H9" s="21" t="n">
        <v>72.53810418800001</v>
      </c>
      <c r="J9" t="n">
        <v>2019</v>
      </c>
      <c r="K9" t="n">
        <v>72.53810418800001</v>
      </c>
      <c r="M9" s="37" t="inlineStr">
        <is>
          <t>VIV</t>
        </is>
      </c>
      <c r="N9" s="38" t="n">
        <v>38.13604203</v>
      </c>
      <c r="O9" s="38" t="n">
        <v>24.3135</v>
      </c>
      <c r="P9" s="38" t="n">
        <v>3.5797</v>
      </c>
    </row>
    <row r="10">
      <c r="A10" s="19" t="n">
        <v>2020</v>
      </c>
      <c r="B10" s="20" t="inlineStr">
        <is>
          <t>VH</t>
        </is>
      </c>
      <c r="C10" s="21" t="n">
        <v>93.163522</v>
      </c>
      <c r="D10" s="21" t="n">
        <v>79.149552</v>
      </c>
      <c r="E10" s="21" t="n">
        <v>82.5890996</v>
      </c>
      <c r="F10" s="21" t="n">
        <v>61.8078006</v>
      </c>
      <c r="G10" s="21" t="n">
        <v>42.093735</v>
      </c>
      <c r="H10" s="21" t="n">
        <v>71.76074184000001</v>
      </c>
      <c r="J10" t="n">
        <v>2020</v>
      </c>
      <c r="K10" t="n">
        <v>71.76074184000001</v>
      </c>
      <c r="M10" s="39" t="n"/>
      <c r="N10" s="39" t="n"/>
      <c r="O10" s="39" t="n"/>
      <c r="P10" s="39" t="n"/>
    </row>
    <row r="11">
      <c r="A11" s="19" t="n">
        <v>2021</v>
      </c>
      <c r="B11" s="20" t="inlineStr">
        <is>
          <t>VH</t>
        </is>
      </c>
      <c r="C11" s="21" t="n">
        <v>93.031807</v>
      </c>
      <c r="D11" s="21" t="n">
        <v>78.6709046</v>
      </c>
      <c r="E11" s="21" t="n">
        <v>82.5223295</v>
      </c>
      <c r="F11" s="21" t="n">
        <v>53.3065723</v>
      </c>
      <c r="G11" s="21" t="n">
        <v>39.34447686</v>
      </c>
      <c r="H11" s="21" t="n">
        <v>69.37521805200001</v>
      </c>
      <c r="J11" t="n">
        <v>2021</v>
      </c>
      <c r="K11" t="n">
        <v>69.37521805200001</v>
      </c>
    </row>
    <row r="12">
      <c r="A12" s="19" t="n">
        <v>2022</v>
      </c>
      <c r="B12" s="20" t="inlineStr">
        <is>
          <t>VH</t>
        </is>
      </c>
      <c r="C12" s="21" t="n">
        <v>94.69143033</v>
      </c>
      <c r="D12" s="21" t="n">
        <v>80.60467749999999</v>
      </c>
      <c r="E12" s="21" t="n">
        <v>82.82906345000001</v>
      </c>
      <c r="F12" s="21" t="n">
        <v>49.41610908</v>
      </c>
      <c r="G12" s="21" t="n">
        <v>38.95815162</v>
      </c>
      <c r="H12" s="21" t="n">
        <v>69.29988639600001</v>
      </c>
      <c r="J12" t="n">
        <v>2022</v>
      </c>
      <c r="K12" t="n">
        <v>69.29988639600001</v>
      </c>
    </row>
    <row r="13">
      <c r="A13" s="19" t="n">
        <v>2023</v>
      </c>
      <c r="B13" s="20" t="inlineStr">
        <is>
          <t>VH</t>
        </is>
      </c>
      <c r="C13" s="21" t="n">
        <v>95.93142528</v>
      </c>
      <c r="D13" s="21" t="n">
        <v>80.83951757095323</v>
      </c>
      <c r="E13" s="21" t="n">
        <v>83.39231792</v>
      </c>
      <c r="F13" s="21" t="n">
        <v>52.6865358</v>
      </c>
      <c r="G13" s="21" t="n">
        <v>39.4531506</v>
      </c>
      <c r="H13" s="21" t="n">
        <v>70.46058943419065</v>
      </c>
      <c r="J13" t="n">
        <v>2023</v>
      </c>
      <c r="K13" t="n">
        <v>70.46058943419065</v>
      </c>
    </row>
    <row r="14">
      <c r="A14" s="19" t="n">
        <v>2024</v>
      </c>
      <c r="B14" s="20" t="inlineStr">
        <is>
          <t>VH</t>
        </is>
      </c>
      <c r="C14" s="21" t="n">
        <v>96.51954838</v>
      </c>
      <c r="D14" s="21" t="n">
        <v>81.88413118877915</v>
      </c>
      <c r="E14" s="21" t="n">
        <v>83.63995728</v>
      </c>
      <c r="F14" s="21" t="n">
        <v>59.58348889</v>
      </c>
      <c r="G14" s="21" t="n">
        <v>39.55948843</v>
      </c>
      <c r="H14" s="21" t="n">
        <v>72.23732283375583</v>
      </c>
      <c r="J14" t="n">
        <v>2024</v>
      </c>
      <c r="K14" t="n">
        <v>72.23732283375583</v>
      </c>
    </row>
    <row r="15">
      <c r="A15" s="22" t="n">
        <v>2025</v>
      </c>
      <c r="B15" s="23" t="inlineStr">
        <is>
          <t>VH</t>
        </is>
      </c>
      <c r="C15" s="24" t="n">
        <v>97.23227344999999</v>
      </c>
      <c r="D15" s="24" t="n">
        <v>81.90189838000001</v>
      </c>
      <c r="E15" s="24" t="n">
        <v>83.98403183000001</v>
      </c>
      <c r="F15" s="24" t="n">
        <v>62.40014005</v>
      </c>
      <c r="G15" s="24" t="n">
        <v>38.13604203</v>
      </c>
      <c r="H15" s="24" t="n">
        <v>72.730877148</v>
      </c>
      <c r="J15" t="n">
        <v>2025</v>
      </c>
      <c r="K15" t="n">
        <v>72.730877148</v>
      </c>
      <c r="L15" t="n">
        <v>72.730877148</v>
      </c>
    </row>
    <row r="16">
      <c r="A16" s="25" t="n">
        <v>2026</v>
      </c>
      <c r="B16" s="26" t="inlineStr">
        <is>
          <t>ET</t>
        </is>
      </c>
      <c r="C16" s="27" t="n">
        <v>97.8779</v>
      </c>
      <c r="D16" s="27" t="n">
        <v>82.3296</v>
      </c>
      <c r="E16" s="27" t="n">
        <v>84.35509999999999</v>
      </c>
      <c r="F16" s="27" t="n">
        <v>61.6887</v>
      </c>
      <c r="G16" s="27" t="n">
        <v>36.7538</v>
      </c>
      <c r="H16" s="27" t="n">
        <v>72.601</v>
      </c>
      <c r="J16" t="n">
        <v>2026</v>
      </c>
      <c r="L16" t="n">
        <v>72.601</v>
      </c>
    </row>
    <row r="17">
      <c r="A17" s="28" t="n">
        <v>2027</v>
      </c>
      <c r="B17" s="29" t="inlineStr">
        <is>
          <t>ET</t>
        </is>
      </c>
      <c r="C17" s="30" t="n">
        <v>98.5236</v>
      </c>
      <c r="D17" s="30" t="n">
        <v>82.7573</v>
      </c>
      <c r="E17" s="30" t="n">
        <v>84.7261</v>
      </c>
      <c r="F17" s="30" t="n">
        <v>60.9773</v>
      </c>
      <c r="G17" s="30" t="n">
        <v>35.3715</v>
      </c>
      <c r="H17" s="30" t="n">
        <v>72.4712</v>
      </c>
      <c r="J17" t="n">
        <v>2027</v>
      </c>
      <c r="L17" t="n">
        <v>72.4712</v>
      </c>
    </row>
    <row r="18">
      <c r="A18" s="28" t="n">
        <v>2028</v>
      </c>
      <c r="B18" s="29" t="inlineStr">
        <is>
          <t>ET</t>
        </is>
      </c>
      <c r="C18" s="30" t="n">
        <v>99.1692</v>
      </c>
      <c r="D18" s="30" t="n">
        <v>83.1849</v>
      </c>
      <c r="E18" s="30" t="n">
        <v>85.0972</v>
      </c>
      <c r="F18" s="30" t="n">
        <v>60.2659</v>
      </c>
      <c r="G18" s="30" t="n">
        <v>33.9893</v>
      </c>
      <c r="H18" s="30" t="n">
        <v>72.3413</v>
      </c>
      <c r="J18" t="n">
        <v>2028</v>
      </c>
      <c r="L18" t="n">
        <v>72.3413</v>
      </c>
    </row>
    <row r="19">
      <c r="A19" s="28" t="n">
        <v>2029</v>
      </c>
      <c r="B19" s="29" t="inlineStr">
        <is>
          <t>ET</t>
        </is>
      </c>
      <c r="C19" s="30" t="n">
        <v>99.81489999999999</v>
      </c>
      <c r="D19" s="30" t="n">
        <v>83.6126</v>
      </c>
      <c r="E19" s="30" t="n">
        <v>85.4683</v>
      </c>
      <c r="F19" s="30" t="n">
        <v>59.5544</v>
      </c>
      <c r="G19" s="30" t="n">
        <v>32.607</v>
      </c>
      <c r="H19" s="30" t="n">
        <v>72.2114</v>
      </c>
      <c r="J19" t="n">
        <v>2029</v>
      </c>
      <c r="L19" t="n">
        <v>72.2114</v>
      </c>
    </row>
    <row r="20">
      <c r="A20" s="28" t="n">
        <v>2030</v>
      </c>
      <c r="B20" s="29" t="inlineStr">
        <is>
          <t>ET</t>
        </is>
      </c>
      <c r="C20" s="30" t="n">
        <v>100</v>
      </c>
      <c r="D20" s="30" t="n">
        <v>84.0403</v>
      </c>
      <c r="E20" s="30" t="n">
        <v>85.83929999999999</v>
      </c>
      <c r="F20" s="30" t="n">
        <v>58.843</v>
      </c>
      <c r="G20" s="30" t="n">
        <v>31.2248</v>
      </c>
      <c r="H20" s="30" t="n">
        <v>71.98950000000001</v>
      </c>
      <c r="J20" t="n">
        <v>2030</v>
      </c>
      <c r="L20" t="n">
        <v>71.98950000000001</v>
      </c>
    </row>
    <row r="21">
      <c r="A21" s="28" t="n">
        <v>2031</v>
      </c>
      <c r="B21" s="29" t="inlineStr">
        <is>
          <t>ET</t>
        </is>
      </c>
      <c r="C21" s="30" t="n">
        <v>100</v>
      </c>
      <c r="D21" s="30" t="n">
        <v>84.468</v>
      </c>
      <c r="E21" s="30" t="n">
        <v>86.21040000000001</v>
      </c>
      <c r="F21" s="30" t="n">
        <v>58.1316</v>
      </c>
      <c r="G21" s="30" t="n">
        <v>29.8425</v>
      </c>
      <c r="H21" s="30" t="n">
        <v>71.73050000000001</v>
      </c>
      <c r="J21" t="n">
        <v>2031</v>
      </c>
      <c r="L21" t="n">
        <v>71.73050000000001</v>
      </c>
    </row>
    <row r="22">
      <c r="A22" s="28" t="n">
        <v>2032</v>
      </c>
      <c r="B22" s="29" t="inlineStr">
        <is>
          <t>ET</t>
        </is>
      </c>
      <c r="C22" s="30" t="n">
        <v>100</v>
      </c>
      <c r="D22" s="30" t="n">
        <v>84.8956</v>
      </c>
      <c r="E22" s="30" t="n">
        <v>86.5814</v>
      </c>
      <c r="F22" s="30" t="n">
        <v>57.4202</v>
      </c>
      <c r="G22" s="30" t="n">
        <v>28.4603</v>
      </c>
      <c r="H22" s="30" t="n">
        <v>71.47150000000001</v>
      </c>
      <c r="J22" t="n">
        <v>2032</v>
      </c>
      <c r="L22" t="n">
        <v>71.47150000000001</v>
      </c>
    </row>
    <row r="23">
      <c r="A23" s="28" t="n">
        <v>2033</v>
      </c>
      <c r="B23" s="29" t="inlineStr">
        <is>
          <t>ET</t>
        </is>
      </c>
      <c r="C23" s="30" t="n">
        <v>100</v>
      </c>
      <c r="D23" s="30" t="n">
        <v>85.3233</v>
      </c>
      <c r="E23" s="30" t="n">
        <v>86.9525</v>
      </c>
      <c r="F23" s="30" t="n">
        <v>56.7087</v>
      </c>
      <c r="G23" s="30" t="n">
        <v>27.078</v>
      </c>
      <c r="H23" s="30" t="n">
        <v>71.21250000000001</v>
      </c>
      <c r="J23" t="n">
        <v>2033</v>
      </c>
      <c r="L23" t="n">
        <v>71.21250000000001</v>
      </c>
    </row>
    <row r="24">
      <c r="A24" s="28" t="n">
        <v>2034</v>
      </c>
      <c r="B24" s="29" t="inlineStr">
        <is>
          <t>ET</t>
        </is>
      </c>
      <c r="C24" s="30" t="n">
        <v>100</v>
      </c>
      <c r="D24" s="30" t="n">
        <v>85.751</v>
      </c>
      <c r="E24" s="30" t="n">
        <v>87.3236</v>
      </c>
      <c r="F24" s="30" t="n">
        <v>55.9973</v>
      </c>
      <c r="G24" s="30" t="n">
        <v>25.6957</v>
      </c>
      <c r="H24" s="30" t="n">
        <v>70.95350000000001</v>
      </c>
      <c r="J24" t="n">
        <v>2034</v>
      </c>
      <c r="L24" t="n">
        <v>70.95350000000001</v>
      </c>
    </row>
    <row r="25">
      <c r="A25" s="28" t="n">
        <v>2035</v>
      </c>
      <c r="B25" s="29" t="inlineStr">
        <is>
          <t>ET</t>
        </is>
      </c>
      <c r="C25" s="30" t="n">
        <v>100</v>
      </c>
      <c r="D25" s="30" t="n">
        <v>86.17870000000001</v>
      </c>
      <c r="E25" s="30" t="n">
        <v>87.69459999999999</v>
      </c>
      <c r="F25" s="30" t="n">
        <v>55.2859</v>
      </c>
      <c r="G25" s="30" t="n">
        <v>24.3135</v>
      </c>
      <c r="H25" s="30" t="n">
        <v>70.69450000000001</v>
      </c>
      <c r="J25" t="n">
        <v>2035</v>
      </c>
      <c r="L25" t="n">
        <v>70.69450000000001</v>
      </c>
    </row>
    <row r="26">
      <c r="A26" s="28" t="n">
        <v>2036</v>
      </c>
      <c r="B26" s="29" t="inlineStr">
        <is>
          <t>ET</t>
        </is>
      </c>
      <c r="C26" s="30" t="n">
        <v>100</v>
      </c>
      <c r="D26" s="30" t="n">
        <v>86.6063</v>
      </c>
      <c r="E26" s="30" t="n">
        <v>88.06570000000001</v>
      </c>
      <c r="F26" s="30" t="n">
        <v>54.5745</v>
      </c>
      <c r="G26" s="30" t="n">
        <v>22.9312</v>
      </c>
      <c r="H26" s="30" t="n">
        <v>70.4355</v>
      </c>
      <c r="J26" t="n">
        <v>2036</v>
      </c>
      <c r="L26" t="n">
        <v>70.4355</v>
      </c>
    </row>
    <row r="27">
      <c r="A27" s="28" t="n">
        <v>2037</v>
      </c>
      <c r="B27" s="29" t="inlineStr">
        <is>
          <t>ET</t>
        </is>
      </c>
      <c r="C27" s="30" t="n">
        <v>100</v>
      </c>
      <c r="D27" s="30" t="n">
        <v>87.03400000000001</v>
      </c>
      <c r="E27" s="30" t="n">
        <v>88.4367</v>
      </c>
      <c r="F27" s="30" t="n">
        <v>53.863</v>
      </c>
      <c r="G27" s="30" t="n">
        <v>21.549</v>
      </c>
      <c r="H27" s="30" t="n">
        <v>70.1765</v>
      </c>
      <c r="J27" t="n">
        <v>2037</v>
      </c>
      <c r="L27" t="n">
        <v>70.1765</v>
      </c>
    </row>
    <row r="28">
      <c r="A28" s="28" t="n">
        <v>2038</v>
      </c>
      <c r="B28" s="29" t="inlineStr">
        <is>
          <t>ET</t>
        </is>
      </c>
      <c r="C28" s="30" t="n">
        <v>100</v>
      </c>
      <c r="D28" s="30" t="n">
        <v>87.46169999999999</v>
      </c>
      <c r="E28" s="30" t="n">
        <v>88.8078</v>
      </c>
      <c r="F28" s="30" t="n">
        <v>53.1516</v>
      </c>
      <c r="G28" s="30" t="n">
        <v>20.1667</v>
      </c>
      <c r="H28" s="30" t="n">
        <v>69.91759999999999</v>
      </c>
      <c r="J28" t="n">
        <v>2038</v>
      </c>
      <c r="L28" t="n">
        <v>69.91759999999999</v>
      </c>
    </row>
    <row r="29">
      <c r="A29" s="28" t="n">
        <v>2039</v>
      </c>
      <c r="B29" s="29" t="inlineStr">
        <is>
          <t>ET</t>
        </is>
      </c>
      <c r="C29" s="30" t="n">
        <v>100</v>
      </c>
      <c r="D29" s="30" t="n">
        <v>87.88939999999999</v>
      </c>
      <c r="E29" s="30" t="n">
        <v>89.1788</v>
      </c>
      <c r="F29" s="30" t="n">
        <v>52.4402</v>
      </c>
      <c r="G29" s="30" t="n">
        <v>18.7845</v>
      </c>
      <c r="H29" s="30" t="n">
        <v>69.65860000000001</v>
      </c>
      <c r="J29" t="n">
        <v>2039</v>
      </c>
      <c r="L29" t="n">
        <v>69.65860000000001</v>
      </c>
    </row>
    <row r="30">
      <c r="A30" s="28" t="n">
        <v>2040</v>
      </c>
      <c r="B30" s="29" t="inlineStr">
        <is>
          <t>ET</t>
        </is>
      </c>
      <c r="C30" s="30" t="n">
        <v>100</v>
      </c>
      <c r="D30" s="30" t="n">
        <v>88.31699999999999</v>
      </c>
      <c r="E30" s="30" t="n">
        <v>89.54989999999999</v>
      </c>
      <c r="F30" s="30" t="n">
        <v>51.7288</v>
      </c>
      <c r="G30" s="30" t="n">
        <v>17.4022</v>
      </c>
      <c r="H30" s="30" t="n">
        <v>69.39960000000001</v>
      </c>
      <c r="J30" t="n">
        <v>2040</v>
      </c>
      <c r="L30" t="n">
        <v>69.39960000000001</v>
      </c>
    </row>
    <row r="31">
      <c r="A31" s="28" t="n">
        <v>2041</v>
      </c>
      <c r="B31" s="29" t="inlineStr">
        <is>
          <t>ET</t>
        </is>
      </c>
      <c r="C31" s="30" t="n">
        <v>100</v>
      </c>
      <c r="D31" s="30" t="n">
        <v>88.74469999999999</v>
      </c>
      <c r="E31" s="30" t="n">
        <v>89.92100000000001</v>
      </c>
      <c r="F31" s="30" t="n">
        <v>51.0173</v>
      </c>
      <c r="G31" s="30" t="n">
        <v>16.02</v>
      </c>
      <c r="H31" s="30" t="n">
        <v>69.14060000000001</v>
      </c>
      <c r="J31" t="n">
        <v>2041</v>
      </c>
      <c r="L31" t="n">
        <v>69.14060000000001</v>
      </c>
    </row>
    <row r="32">
      <c r="A32" s="28" t="n">
        <v>2042</v>
      </c>
      <c r="B32" s="29" t="inlineStr">
        <is>
          <t>ET</t>
        </is>
      </c>
      <c r="C32" s="30" t="n">
        <v>100</v>
      </c>
      <c r="D32" s="30" t="n">
        <v>89.1724</v>
      </c>
      <c r="E32" s="30" t="n">
        <v>90.292</v>
      </c>
      <c r="F32" s="30" t="n">
        <v>50.3059</v>
      </c>
      <c r="G32" s="30" t="n">
        <v>14.6377</v>
      </c>
      <c r="H32" s="30" t="n">
        <v>68.88160000000001</v>
      </c>
      <c r="J32" t="n">
        <v>2042</v>
      </c>
      <c r="L32" t="n">
        <v>68.88160000000001</v>
      </c>
    </row>
    <row r="33">
      <c r="A33" s="28" t="n">
        <v>2043</v>
      </c>
      <c r="B33" s="29" t="inlineStr">
        <is>
          <t>ET</t>
        </is>
      </c>
      <c r="C33" s="30" t="n">
        <v>100</v>
      </c>
      <c r="D33" s="30" t="n">
        <v>89.6001</v>
      </c>
      <c r="E33" s="30" t="n">
        <v>90.6631</v>
      </c>
      <c r="F33" s="30" t="n">
        <v>49.5945</v>
      </c>
      <c r="G33" s="30" t="n">
        <v>13.2554</v>
      </c>
      <c r="H33" s="30" t="n">
        <v>68.62260000000001</v>
      </c>
      <c r="J33" t="n">
        <v>2043</v>
      </c>
      <c r="L33" t="n">
        <v>68.62260000000001</v>
      </c>
    </row>
    <row r="34">
      <c r="A34" s="28" t="n">
        <v>2044</v>
      </c>
      <c r="B34" s="29" t="inlineStr">
        <is>
          <t>ET</t>
        </is>
      </c>
      <c r="C34" s="30" t="n">
        <v>100</v>
      </c>
      <c r="D34" s="30" t="n">
        <v>90.0278</v>
      </c>
      <c r="E34" s="30" t="n">
        <v>91.0341</v>
      </c>
      <c r="F34" s="30" t="n">
        <v>48.8831</v>
      </c>
      <c r="G34" s="30" t="n">
        <v>11.8732</v>
      </c>
      <c r="H34" s="30" t="n">
        <v>68.36360000000001</v>
      </c>
      <c r="J34" t="n">
        <v>2044</v>
      </c>
      <c r="L34" t="n">
        <v>68.36360000000001</v>
      </c>
    </row>
    <row r="35">
      <c r="A35" s="28" t="n">
        <v>2045</v>
      </c>
      <c r="B35" s="29" t="inlineStr">
        <is>
          <t>ET</t>
        </is>
      </c>
      <c r="C35" s="30" t="n">
        <v>100</v>
      </c>
      <c r="D35" s="30" t="n">
        <v>90.4554</v>
      </c>
      <c r="E35" s="30" t="n">
        <v>91.40519999999999</v>
      </c>
      <c r="F35" s="30" t="n">
        <v>48.1716</v>
      </c>
      <c r="G35" s="30" t="n">
        <v>10.4909</v>
      </c>
      <c r="H35" s="30" t="n">
        <v>68.1046</v>
      </c>
      <c r="J35" t="n">
        <v>2045</v>
      </c>
      <c r="L35" t="n">
        <v>68.1046</v>
      </c>
    </row>
    <row r="36">
      <c r="A36" s="28" t="n">
        <v>2046</v>
      </c>
      <c r="B36" s="29" t="inlineStr">
        <is>
          <t>ET</t>
        </is>
      </c>
      <c r="C36" s="30" t="n">
        <v>100</v>
      </c>
      <c r="D36" s="30" t="n">
        <v>90.8831</v>
      </c>
      <c r="E36" s="30" t="n">
        <v>91.7762</v>
      </c>
      <c r="F36" s="30" t="n">
        <v>47.4602</v>
      </c>
      <c r="G36" s="30" t="n">
        <v>9.108700000000001</v>
      </c>
      <c r="H36" s="30" t="n">
        <v>67.8456</v>
      </c>
      <c r="J36" t="n">
        <v>2046</v>
      </c>
      <c r="L36" t="n">
        <v>67.8456</v>
      </c>
    </row>
    <row r="37">
      <c r="A37" s="28" t="n">
        <v>2047</v>
      </c>
      <c r="B37" s="29" t="inlineStr">
        <is>
          <t>ET</t>
        </is>
      </c>
      <c r="C37" s="30" t="n">
        <v>100</v>
      </c>
      <c r="D37" s="30" t="n">
        <v>91.3108</v>
      </c>
      <c r="E37" s="30" t="n">
        <v>92.1473</v>
      </c>
      <c r="F37" s="30" t="n">
        <v>46.7488</v>
      </c>
      <c r="G37" s="30" t="n">
        <v>7.7264</v>
      </c>
      <c r="H37" s="30" t="n">
        <v>67.58669999999999</v>
      </c>
      <c r="J37" t="n">
        <v>2047</v>
      </c>
      <c r="L37" t="n">
        <v>67.58669999999999</v>
      </c>
    </row>
    <row r="38">
      <c r="A38" s="28" t="n">
        <v>2048</v>
      </c>
      <c r="B38" s="29" t="inlineStr">
        <is>
          <t>ET</t>
        </is>
      </c>
      <c r="C38" s="30" t="n">
        <v>100</v>
      </c>
      <c r="D38" s="30" t="n">
        <v>91.7385</v>
      </c>
      <c r="E38" s="30" t="n">
        <v>92.5184</v>
      </c>
      <c r="F38" s="30" t="n">
        <v>46.0374</v>
      </c>
      <c r="G38" s="30" t="n">
        <v>6.3442</v>
      </c>
      <c r="H38" s="30" t="n">
        <v>67.32769999999999</v>
      </c>
      <c r="J38" t="n">
        <v>2048</v>
      </c>
      <c r="L38" t="n">
        <v>67.32769999999999</v>
      </c>
    </row>
    <row r="39">
      <c r="A39" s="28" t="n">
        <v>2049</v>
      </c>
      <c r="B39" s="29" t="inlineStr">
        <is>
          <t>ET</t>
        </is>
      </c>
      <c r="C39" s="30" t="n">
        <v>100</v>
      </c>
      <c r="D39" s="30" t="n">
        <v>92.1661</v>
      </c>
      <c r="E39" s="30" t="n">
        <v>92.88939999999999</v>
      </c>
      <c r="F39" s="30" t="n">
        <v>45.3259</v>
      </c>
      <c r="G39" s="30" t="n">
        <v>4.9619</v>
      </c>
      <c r="H39" s="30" t="n">
        <v>67.06870000000001</v>
      </c>
      <c r="J39" t="n">
        <v>2049</v>
      </c>
      <c r="L39" t="n">
        <v>67.06870000000001</v>
      </c>
    </row>
    <row r="40">
      <c r="A40" s="28" t="n">
        <v>2050</v>
      </c>
      <c r="B40" s="29" t="inlineStr">
        <is>
          <t>ET</t>
        </is>
      </c>
      <c r="C40" s="30" t="n">
        <v>100</v>
      </c>
      <c r="D40" s="30" t="n">
        <v>92.5938</v>
      </c>
      <c r="E40" s="30" t="n">
        <v>93.26049999999999</v>
      </c>
      <c r="F40" s="30" t="n">
        <v>44.6145</v>
      </c>
      <c r="G40" s="30" t="n">
        <v>3.5797</v>
      </c>
      <c r="H40" s="30" t="n">
        <v>66.80970000000001</v>
      </c>
      <c r="J40" t="n">
        <v>2050</v>
      </c>
      <c r="L40" t="n">
        <v>66.80970000000001</v>
      </c>
    </row>
    <row r="42" ht="38" customHeight="1">
      <c r="A42" s="12" t="inlineStr">
        <is>
          <t>Nota metodológica: las proyecciones 2026–2050 son un escenario tendencial propio, no una proyección oficial del DANE ni del Gobierno de Bután. Se estimaron mediante una tendencia lineal sobre 2018–2025, anclada en 2025 y acotada entre 0 y 100.</t>
        </is>
      </c>
    </row>
    <row r="43" ht="22" customHeight="1">
      <c r="A43" s="40" t="inlineStr">
        <is>
          <t>Abreviaturas y convenciones</t>
        </is>
      </c>
    </row>
    <row r="44" ht="22" customHeight="1">
      <c r="A44" s="41" t="inlineStr">
        <is>
          <t>VH = valor histórico (2015–2025); ET = escenario tendencial (2026–2050).</t>
        </is>
      </c>
    </row>
    <row r="45" ht="22" customHeight="1">
      <c r="A45" s="41" t="inlineStr">
        <is>
          <t>SAL = afiliación al Sistema General de Seguridad Social en Salud; EDU = asistencia escolar de 6 a 21 años.</t>
        </is>
      </c>
    </row>
    <row r="46" ht="22" customHeight="1">
      <c r="A46" s="41" t="inlineStr">
        <is>
          <t>ECO = cobertura de recolección de basuras; NVP = población que no se considera pobre; VIV = hogares con vivienda propia.</t>
        </is>
      </c>
    </row>
    <row r="47">
      <c r="A47" s="42" t="n"/>
      <c r="B47" s="43" t="n"/>
      <c r="C47" s="42" t="n"/>
      <c r="D47" s="42" t="n"/>
      <c r="E47" s="44" t="n"/>
      <c r="F47" s="44" t="n"/>
      <c r="G47" s="42" t="n"/>
      <c r="H47" s="42" t="n"/>
    </row>
    <row r="48">
      <c r="A48" s="45" t="inlineStr">
        <is>
          <t>Parámetros del escenario tendencial</t>
        </is>
      </c>
    </row>
    <row r="49">
      <c r="A49" s="46" t="inlineStr">
        <is>
          <t>SAL: afiliación al SGSSS (%)</t>
        </is>
      </c>
      <c r="B49" s="47" t="n">
        <v>0.6457000000000001</v>
      </c>
      <c r="C49" s="42" t="n"/>
      <c r="D49" s="42" t="n"/>
      <c r="E49" s="44" t="n"/>
      <c r="F49" s="44" t="n"/>
      <c r="G49" s="42" t="n"/>
      <c r="H49" s="42" t="n"/>
    </row>
    <row r="50">
      <c r="A50" s="46" t="inlineStr">
        <is>
          <t>EDU: asistencia escolar 6–21 años (%)</t>
        </is>
      </c>
      <c r="B50" s="47" t="n">
        <v>0.4277</v>
      </c>
      <c r="C50" s="42" t="n"/>
      <c r="D50" s="42" t="n"/>
      <c r="E50" s="42" t="n"/>
      <c r="F50" s="42" t="n"/>
      <c r="G50" s="42" t="n"/>
      <c r="H50" s="42" t="n"/>
    </row>
    <row r="51">
      <c r="A51" s="46" t="inlineStr">
        <is>
          <t>ECO: recolección de basuras (%)</t>
        </is>
      </c>
      <c r="B51" s="47" t="n">
        <v>0.3711</v>
      </c>
      <c r="C51" s="42" t="n"/>
      <c r="D51" s="42" t="n"/>
      <c r="E51" s="42" t="n"/>
      <c r="F51" s="42" t="n"/>
      <c r="G51" s="42" t="n"/>
      <c r="H51" s="42" t="n"/>
    </row>
    <row r="52">
      <c r="A52" s="46" t="inlineStr">
        <is>
          <t>NVP: no pobreza percibida (%)</t>
        </is>
      </c>
      <c r="B52" s="47" t="n">
        <v>-0.7114</v>
      </c>
      <c r="C52" s="42" t="n"/>
      <c r="D52" s="42" t="n"/>
      <c r="E52" s="42" t="n"/>
      <c r="F52" s="42" t="n"/>
      <c r="G52" s="42" t="n"/>
      <c r="H52" s="42" t="n"/>
    </row>
    <row r="53">
      <c r="A53" s="46" t="inlineStr">
        <is>
          <t>VIV: vivienda propia (%)</t>
        </is>
      </c>
      <c r="B53" s="47" t="n">
        <v>-1.3823</v>
      </c>
      <c r="C53" s="42" t="n"/>
      <c r="D53" s="42" t="n"/>
      <c r="E53" s="42" t="n"/>
      <c r="F53" s="42" t="n"/>
      <c r="G53" s="42" t="n"/>
      <c r="H53" s="42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</row>
  </sheetData>
  <autoFilter ref="A4:H40"/>
  <mergeCells count="8">
    <mergeCell ref="A45:H45"/>
    <mergeCell ref="A48:H48"/>
    <mergeCell ref="A43:H43"/>
    <mergeCell ref="A2:H2"/>
    <mergeCell ref="A42:H42"/>
    <mergeCell ref="A44:H44"/>
    <mergeCell ref="A1:H1"/>
    <mergeCell ref="A46:H46"/>
  </mergeCells>
  <conditionalFormatting sqref="H5:H40">
    <cfRule type="colorScale" priority="1">
      <colorScale>
        <cfvo type="num" val="0"/>
        <cfvo type="num" val="60"/>
        <cfvo type="num" val="100"/>
        <color rgb="00F4CCCC"/>
        <color rgb="00FFF2CC"/>
        <color rgb="00D9EAD3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2026-07-22T19:40:55Z</dcterms:created>
  <dcterms:modified xmlns:dcterms="http://purl.org/dc/terms/" xmlns:xsi="http://www.w3.org/2001/XMLSchema-instance" xsi:type="dcterms:W3CDTF">2026-07-22T19:52:28Z</dcterms:modified>
</cp:coreProperties>
</file>